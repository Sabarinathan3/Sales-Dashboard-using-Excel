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K:\Data analyst\"/>
    </mc:Choice>
  </mc:AlternateContent>
  <xr:revisionPtr revIDLastSave="0" documentId="8_{11641F50-7E34-4EAE-9076-44C98FBF631B}" xr6:coauthVersionLast="47" xr6:coauthVersionMax="47" xr10:uidLastSave="{00000000-0000-0000-0000-000000000000}"/>
  <bookViews>
    <workbookView xWindow="-110" yWindow="-110" windowWidth="19420" windowHeight="11020" activeTab="2" xr2:uid="{C0893FBD-34B3-420E-B0D6-EC330180DDEA}"/>
    <workbookView xWindow="-110" yWindow="-110" windowWidth="19420" windowHeight="11020" xr2:uid="{1786D2DB-C21C-415D-A2CB-08FFC31F72EF}"/>
  </bookViews>
  <sheets>
    <sheet name="Dashboard" sheetId="7" r:id="rId1"/>
    <sheet name="Pivot Table" sheetId="6" r:id="rId2"/>
    <sheet name="SalesData" sheetId="3" r:id="rId3"/>
  </sheets>
  <definedNames>
    <definedName name="Slicer_Product">#N/A</definedName>
    <definedName name="Slicer_Region">#N/A</definedName>
    <definedName name="Slicer_Sales_Person">#N/A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F2" i="3" l="1"/>
  <c r="H2" i="3" s="1"/>
  <c r="G2" i="3"/>
  <c r="F3" i="3"/>
  <c r="H3" i="3" s="1"/>
  <c r="I3" i="3" s="1"/>
  <c r="G3" i="3"/>
  <c r="F4" i="3"/>
  <c r="H4" i="3" s="1"/>
  <c r="G4" i="3"/>
  <c r="J4" i="3"/>
  <c r="F5" i="3"/>
  <c r="H5" i="3" s="1"/>
  <c r="G5" i="3"/>
  <c r="F6" i="3"/>
  <c r="H6" i="3" s="1"/>
  <c r="G6" i="3"/>
  <c r="F7" i="3"/>
  <c r="G7" i="3"/>
  <c r="H7" i="3"/>
  <c r="I7" i="3" s="1"/>
  <c r="F8" i="3"/>
  <c r="H8" i="3" s="1"/>
  <c r="I8" i="3" s="1"/>
  <c r="G8" i="3"/>
  <c r="F9" i="3"/>
  <c r="H9" i="3" s="1"/>
  <c r="I9" i="3" s="1"/>
  <c r="G9" i="3"/>
  <c r="F10" i="3"/>
  <c r="H10" i="3" s="1"/>
  <c r="I10" i="3" s="1"/>
  <c r="G10" i="3"/>
  <c r="F11" i="3"/>
  <c r="H11" i="3" s="1"/>
  <c r="G11" i="3"/>
  <c r="F12" i="3"/>
  <c r="H12" i="3" s="1"/>
  <c r="I12" i="3" s="1"/>
  <c r="G12" i="3"/>
  <c r="F13" i="3"/>
  <c r="G13" i="3"/>
  <c r="H13" i="3"/>
  <c r="F14" i="3"/>
  <c r="H14" i="3" s="1"/>
  <c r="G14" i="3"/>
  <c r="F15" i="3"/>
  <c r="H15" i="3" s="1"/>
  <c r="G15" i="3"/>
  <c r="F16" i="3"/>
  <c r="H16" i="3" s="1"/>
  <c r="G16" i="3"/>
  <c r="F17" i="3"/>
  <c r="H17" i="3" s="1"/>
  <c r="I17" i="3" s="1"/>
  <c r="G17" i="3"/>
  <c r="F18" i="3"/>
  <c r="H18" i="3" s="1"/>
  <c r="G18" i="3"/>
  <c r="F19" i="3"/>
  <c r="G19" i="3"/>
  <c r="H19" i="3"/>
  <c r="I19" i="3" s="1"/>
  <c r="F20" i="3"/>
  <c r="H20" i="3" s="1"/>
  <c r="G20" i="3"/>
  <c r="F21" i="3"/>
  <c r="G21" i="3"/>
  <c r="H21" i="3"/>
  <c r="I21" i="3" s="1"/>
  <c r="F22" i="3"/>
  <c r="H22" i="3" s="1"/>
  <c r="I22" i="3" s="1"/>
  <c r="G22" i="3"/>
  <c r="F23" i="3"/>
  <c r="G23" i="3"/>
  <c r="H23" i="3"/>
  <c r="I23" i="3" s="1"/>
  <c r="F24" i="3"/>
  <c r="H24" i="3" s="1"/>
  <c r="G24" i="3"/>
  <c r="F25" i="3"/>
  <c r="H25" i="3" s="1"/>
  <c r="I25" i="3" s="1"/>
  <c r="G25" i="3"/>
  <c r="F26" i="3"/>
  <c r="H26" i="3" s="1"/>
  <c r="G26" i="3"/>
  <c r="F27" i="3"/>
  <c r="H27" i="3" s="1"/>
  <c r="G27" i="3"/>
  <c r="F28" i="3"/>
  <c r="H28" i="3" s="1"/>
  <c r="G28" i="3"/>
  <c r="F29" i="3"/>
  <c r="H29" i="3" s="1"/>
  <c r="G29" i="3"/>
  <c r="F30" i="3"/>
  <c r="H30" i="3" s="1"/>
  <c r="I30" i="3" s="1"/>
  <c r="G30" i="3"/>
  <c r="F31" i="3"/>
  <c r="G31" i="3"/>
  <c r="H31" i="3"/>
  <c r="I31" i="3" s="1"/>
  <c r="F32" i="3"/>
  <c r="H32" i="3" s="1"/>
  <c r="G32" i="3"/>
  <c r="F33" i="3"/>
  <c r="H33" i="3" s="1"/>
  <c r="G33" i="3"/>
  <c r="F34" i="3"/>
  <c r="H34" i="3" s="1"/>
  <c r="G34" i="3"/>
  <c r="F35" i="3"/>
  <c r="G35" i="3"/>
  <c r="H35" i="3"/>
  <c r="I35" i="3" s="1"/>
  <c r="F36" i="3"/>
  <c r="H36" i="3" s="1"/>
  <c r="G36" i="3"/>
  <c r="F37" i="3"/>
  <c r="H37" i="3" s="1"/>
  <c r="G37" i="3"/>
  <c r="F38" i="3"/>
  <c r="H38" i="3" s="1"/>
  <c r="G38" i="3"/>
  <c r="F39" i="3"/>
  <c r="H39" i="3" s="1"/>
  <c r="G39" i="3"/>
  <c r="F40" i="3"/>
  <c r="H40" i="3" s="1"/>
  <c r="G40" i="3"/>
  <c r="F41" i="3"/>
  <c r="H41" i="3" s="1"/>
  <c r="I41" i="3" s="1"/>
  <c r="G41" i="3"/>
  <c r="F42" i="3"/>
  <c r="H42" i="3" s="1"/>
  <c r="I42" i="3" s="1"/>
  <c r="G42" i="3"/>
  <c r="F43" i="3"/>
  <c r="H43" i="3" s="1"/>
  <c r="G43" i="3"/>
  <c r="F44" i="3"/>
  <c r="H44" i="3" s="1"/>
  <c r="G44" i="3"/>
  <c r="F45" i="3"/>
  <c r="H45" i="3" s="1"/>
  <c r="I45" i="3" s="1"/>
  <c r="G45" i="3"/>
  <c r="F46" i="3"/>
  <c r="H46" i="3" s="1"/>
  <c r="I46" i="3" s="1"/>
  <c r="G46" i="3"/>
  <c r="F47" i="3"/>
  <c r="H47" i="3" s="1"/>
  <c r="G47" i="3"/>
  <c r="F48" i="3"/>
  <c r="H48" i="3" s="1"/>
  <c r="G48" i="3"/>
  <c r="F49" i="3"/>
  <c r="H49" i="3" s="1"/>
  <c r="I49" i="3" s="1"/>
  <c r="G49" i="3"/>
  <c r="F50" i="3"/>
  <c r="H50" i="3" s="1"/>
  <c r="I50" i="3" s="1"/>
  <c r="G50" i="3"/>
  <c r="F51" i="3"/>
  <c r="H51" i="3" s="1"/>
  <c r="G51" i="3"/>
  <c r="I33" i="3" l="1"/>
  <c r="I26" i="3"/>
  <c r="I5" i="3"/>
  <c r="I11" i="3"/>
  <c r="I14" i="3"/>
  <c r="I27" i="3"/>
  <c r="I6" i="3"/>
  <c r="I48" i="3"/>
  <c r="I44" i="3"/>
  <c r="I40" i="3"/>
  <c r="I36" i="3"/>
  <c r="I29" i="3"/>
  <c r="I20" i="3"/>
  <c r="I13" i="3"/>
  <c r="I51" i="3"/>
  <c r="I47" i="3"/>
  <c r="I43" i="3"/>
  <c r="I39" i="3"/>
  <c r="I32" i="3"/>
  <c r="I16" i="3"/>
  <c r="I4" i="3"/>
  <c r="I15" i="3"/>
  <c r="I38" i="3"/>
  <c r="I28" i="3"/>
  <c r="I34" i="3"/>
  <c r="I18" i="3"/>
  <c r="I37" i="3"/>
  <c r="I24" i="3"/>
  <c r="I2" i="3"/>
  <c r="J2" i="3"/>
  <c r="J8" i="3"/>
  <c r="J6" i="3" l="1"/>
</calcChain>
</file>

<file path=xl/sharedStrings.xml><?xml version="1.0" encoding="utf-8"?>
<sst xmlns="http://schemas.openxmlformats.org/spreadsheetml/2006/main" count="206" uniqueCount="39">
  <si>
    <t>Date</t>
  </si>
  <si>
    <t>Sales Person</t>
  </si>
  <si>
    <t>Region</t>
  </si>
  <si>
    <t>Product</t>
  </si>
  <si>
    <t>Units Sold</t>
  </si>
  <si>
    <t>Unit Price</t>
  </si>
  <si>
    <t>Cost of Goods</t>
  </si>
  <si>
    <t>Total Sales</t>
  </si>
  <si>
    <t>Andrew</t>
  </si>
  <si>
    <t>West</t>
  </si>
  <si>
    <t>Tent</t>
  </si>
  <si>
    <t>Grace</t>
  </si>
  <si>
    <t>East</t>
  </si>
  <si>
    <t>Blender</t>
  </si>
  <si>
    <t>Ella</t>
  </si>
  <si>
    <t>South</t>
  </si>
  <si>
    <t>Action Figure</t>
  </si>
  <si>
    <t>Cameron</t>
  </si>
  <si>
    <t>North</t>
  </si>
  <si>
    <t>Novel</t>
  </si>
  <si>
    <t>Megan</t>
  </si>
  <si>
    <t>Sneakers</t>
  </si>
  <si>
    <t>Carolyn</t>
  </si>
  <si>
    <t>Virginia</t>
  </si>
  <si>
    <t>Connor</t>
  </si>
  <si>
    <t>Anna</t>
  </si>
  <si>
    <t>Moisturizer</t>
  </si>
  <si>
    <t>Nicholas</t>
  </si>
  <si>
    <t>Smartphone</t>
  </si>
  <si>
    <t xml:space="preserve">Profit </t>
  </si>
  <si>
    <t xml:space="preserve">Grand Total </t>
  </si>
  <si>
    <t xml:space="preserve">Unit Sold </t>
  </si>
  <si>
    <t>Total Profit</t>
  </si>
  <si>
    <t>Average Sales</t>
  </si>
  <si>
    <t>Row Labels</t>
  </si>
  <si>
    <t>Grand Total</t>
  </si>
  <si>
    <t>Sum of Total Sales</t>
  </si>
  <si>
    <t>Sum of Units Sold</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</si>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</sst>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_ &quot;Rs.&quot;\ * #,##0_ ;_ &quot;Rs.&quot;\ * \-#,##0_ ;_ &quot;Rs.&quot;\ * &quot;-&quot;_ ;_ @_ "/>
  </numFmts>
  <fonts count="3" x14ac:knownFonts="1">
    <font>
      <sz val="11"/>
      <color theme="1"/>
      <name val="Aptos Narrow"/>
      <family val="2"/>
      <scheme val="minor"/>
    </font>
    <font>
      <sz val="11"/>
      <color theme="1"/>
      <name val="Aptos Narrow"/>
      <family val="2"/>
      <scheme val="minor"/>
    </font>
    <font>
      <sz val="11"/>
      <color theme="0"/>
      <name val="Aptos Narrow"/>
      <family val="2"/>
      <scheme val="minor"/>
    </font>
  </fonts>
  <fills count="4">
    <fill>
      <patternFill patternType="none"/>
    </fill>
    <fill>
      <patternFill patternType="gray125"/>
    </fill>
    <fill>
      <patternFill patternType="solid">
        <fgColor rgb="FF002060"/>
        <bgColor indexed="64"/>
      </patternFill>
    </fill>
    <fill>
      <patternFill patternType="solid">
        <fgColor theme="4" tint="0.79998168889431442"/>
        <bgColor theme="4" tint="0.79998168889431442"/>
      </patternFill>
    </fill>
  </fills>
  <borders count="3">
    <border>
      <left/>
      <right/>
      <top/>
      <bottom/>
      <diagonal/>
    </border>
    <border>
      <left/>
      <right/>
      <top style="thin">
        <color theme="4" tint="0.39997558519241921"/>
      </top>
      <bottom/>
      <diagonal/>
    </border>
    <border>
      <left/>
      <right/>
      <top style="thick">
        <color rgb="FFFFC000"/>
      </top>
      <bottom/>
      <diagonal/>
    </border>
  </borders>
  <cellStyleXfs count="2">
    <xf numFmtId="0" fontId="0" fillId="0" borderId="0"/>
    <xf numFmtId="164" fontId="1" fillId="0" borderId="0" applyFont="0" applyFill="0" applyBorder="0" applyAlignment="0" applyProtection="0"/>
  </cellStyleXfs>
  <cellXfs count="23">
    <xf numFmtId="0" fontId="0" fillId="0" borderId="0" xfId="0"/>
    <xf numFmtId="0" fontId="0" fillId="0" borderId="0" xfId="0" applyAlignment="1">
      <alignment horizontal="left"/>
    </xf>
    <xf numFmtId="164" fontId="0" fillId="0" borderId="0" xfId="0" applyNumberFormat="1"/>
    <xf numFmtId="0" fontId="0" fillId="0" borderId="0" xfId="0" pivotButton="1"/>
    <xf numFmtId="0" fontId="0" fillId="0" borderId="0" xfId="0" applyNumberFormat="1"/>
    <xf numFmtId="0" fontId="2" fillId="2" borderId="2" xfId="0" applyFont="1" applyFill="1" applyBorder="1" applyAlignment="1">
      <alignment horizontal="center" vertical="center"/>
    </xf>
    <xf numFmtId="0" fontId="2" fillId="2" borderId="1" xfId="0" applyFont="1" applyFill="1" applyBorder="1" applyAlignment="1">
      <alignment horizontal="center" vertical="center"/>
    </xf>
    <xf numFmtId="0" fontId="0" fillId="0" borderId="2" xfId="0" applyFont="1" applyBorder="1"/>
    <xf numFmtId="0" fontId="0" fillId="0" borderId="2" xfId="0" applyFont="1" applyBorder="1" applyAlignment="1">
      <alignment horizontal="left"/>
    </xf>
    <xf numFmtId="164" fontId="0" fillId="0" borderId="2" xfId="1" applyNumberFormat="1" applyFont="1" applyBorder="1"/>
    <xf numFmtId="164" fontId="0" fillId="0" borderId="1" xfId="0" applyNumberFormat="1" applyFont="1" applyBorder="1"/>
    <xf numFmtId="0" fontId="0" fillId="3" borderId="1" xfId="0" applyFont="1" applyFill="1" applyBorder="1"/>
    <xf numFmtId="0" fontId="0" fillId="3" borderId="1" xfId="0" applyFont="1" applyFill="1" applyBorder="1" applyAlignment="1">
      <alignment horizontal="left"/>
    </xf>
    <xf numFmtId="164" fontId="0" fillId="3" borderId="1" xfId="1" applyNumberFormat="1" applyFont="1" applyFill="1" applyBorder="1"/>
    <xf numFmtId="164" fontId="0" fillId="3" borderId="1" xfId="0" applyNumberFormat="1" applyFont="1" applyFill="1" applyBorder="1"/>
    <xf numFmtId="0" fontId="0" fillId="0" borderId="1" xfId="0" applyFont="1" applyBorder="1"/>
    <xf numFmtId="0" fontId="0" fillId="0" borderId="1" xfId="0" applyFont="1" applyBorder="1" applyAlignment="1">
      <alignment horizontal="left"/>
    </xf>
    <xf numFmtId="164" fontId="0" fillId="0" borderId="1" xfId="1" applyNumberFormat="1" applyFont="1" applyBorder="1"/>
    <xf numFmtId="14" fontId="0" fillId="0" borderId="2" xfId="0" applyNumberFormat="1" applyFont="1" applyBorder="1" applyAlignment="1">
      <alignment horizontal="center"/>
    </xf>
    <xf numFmtId="14" fontId="0" fillId="3" borderId="1" xfId="0" applyNumberFormat="1" applyFont="1" applyFill="1" applyBorder="1" applyAlignment="1">
      <alignment horizontal="center"/>
    </xf>
    <xf numFmtId="14" fontId="0" fillId="0" borderId="1" xfId="0" applyNumberFormat="1" applyFont="1" applyBorder="1" applyAlignment="1">
      <alignment horizontal="center"/>
    </xf>
    <xf numFmtId="0" fontId="0" fillId="3" borderId="1" xfId="0" applyFont="1" applyFill="1" applyBorder="1" applyAlignment="1">
      <alignment horizontal="center"/>
    </xf>
    <xf numFmtId="0" fontId="0" fillId="0" borderId="1" xfId="0" applyFont="1" applyBorder="1" applyAlignment="1">
      <alignment horizontal="center"/>
    </xf>
  </cellXfs>
  <cellStyles count="2">
    <cellStyle name="Currency [0]" xfId="1" builtinId="7"/>
    <cellStyle name="Normal" xfId="0" builtinId="0"/>
  </cellStyles>
  <dxfs count="13">
    <dxf>
      <font>
        <b val="0"/>
        <i val="0"/>
        <strike val="0"/>
        <condense val="0"/>
        <extend val="0"/>
        <outline val="0"/>
        <shadow val="0"/>
        <u val="none"/>
        <vertAlign val="baseline"/>
        <sz val="11"/>
        <color theme="1"/>
        <name val="Aptos Narrow"/>
        <family val="2"/>
        <scheme val="minor"/>
      </font>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Aptos Narrow"/>
        <family val="2"/>
        <scheme val="minor"/>
      </font>
      <numFmt numFmtId="164" formatCode="_ &quot;Rs.&quot;\ * #,##0_ ;_ &quot;Rs.&quot;\ * \-#,##0_ ;_ &quot;Rs.&quot;\ * &quot;-&quot;_ ;_ @_ "/>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Aptos Narrow"/>
        <family val="2"/>
        <scheme val="minor"/>
      </font>
      <numFmt numFmtId="164" formatCode="_ &quot;Rs.&quot;\ * #,##0_ ;_ &quot;Rs.&quot;\ * \-#,##0_ ;_ &quot;Rs.&quot;\ * &quot;-&quot;_ ;_ @_ "/>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Aptos Narrow"/>
        <family val="2"/>
        <scheme val="minor"/>
      </font>
      <numFmt numFmtId="164" formatCode="_ &quot;Rs.&quot;\ * #,##0_ ;_ &quot;Rs.&quot;\ * \-#,##0_ ;_ &quot;Rs.&quot;\ * &quot;-&quot;_ ;_ @_ "/>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Aptos Narrow"/>
        <family val="2"/>
        <scheme val="minor"/>
      </font>
      <numFmt numFmtId="164" formatCode="_ &quot;Rs.&quot;\ * #,##0_ ;_ &quot;Rs.&quot;\ * \-#,##0_ ;_ &quot;Rs.&quot;\ * &quot;-&quot;_ ;_ @_ "/>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Aptos Narrow"/>
        <family val="2"/>
        <scheme val="minor"/>
      </font>
      <fill>
        <patternFill patternType="solid">
          <fgColor theme="4" tint="0.79998168889431442"/>
          <bgColor theme="4" tint="0.79998168889431442"/>
        </patternFill>
      </fill>
      <alignment horizontal="left" vertical="bottom" textRotation="0" wrapText="0"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Aptos Narrow"/>
        <family val="2"/>
        <scheme val="minor"/>
      </font>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Aptos Narrow"/>
        <family val="2"/>
        <scheme val="minor"/>
      </font>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Aptos Narrow"/>
        <family val="2"/>
        <scheme val="minor"/>
      </font>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Aptos Narrow"/>
        <family val="2"/>
        <scheme val="minor"/>
      </font>
      <numFmt numFmtId="19" formatCode="dd/mm/yyyy"/>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right/>
        <top style="thin">
          <color theme="4" tint="0.39997558519241921"/>
        </top>
        <bottom/>
        <vertical/>
        <horizontal/>
      </border>
    </dxf>
    <dxf>
      <border outline="0">
        <left style="thin">
          <color theme="4" tint="0.39997558519241921"/>
        </left>
        <right style="thin">
          <color theme="4" tint="0.39997558519241921"/>
        </right>
        <bottom style="thin">
          <color theme="4" tint="0.39997558519241921"/>
        </bottom>
      </border>
    </dxf>
    <dxf>
      <font>
        <b val="0"/>
        <i val="0"/>
        <strike val="0"/>
        <condense val="0"/>
        <extend val="0"/>
        <outline val="0"/>
        <shadow val="0"/>
        <u val="none"/>
        <vertAlign val="baseline"/>
        <sz val="11"/>
        <color theme="1"/>
        <name val="Aptos Narrow"/>
        <family val="2"/>
        <scheme val="minor"/>
      </font>
      <fill>
        <patternFill patternType="solid">
          <fgColor theme="4" tint="0.79998168889431442"/>
          <bgColor theme="4" tint="0.79998168889431442"/>
        </patternFill>
      </fill>
    </dxf>
    <dxf>
      <font>
        <b val="0"/>
        <i val="0"/>
        <strike val="0"/>
        <condense val="0"/>
        <extend val="0"/>
        <outline val="0"/>
        <shadow val="0"/>
        <u val="none"/>
        <vertAlign val="baseline"/>
        <sz val="11"/>
        <color theme="0"/>
        <name val="Aptos Narrow"/>
        <family val="2"/>
        <scheme val="minor"/>
      </font>
      <fill>
        <patternFill patternType="solid">
          <fgColor indexed="64"/>
          <bgColor rgb="FF002060"/>
        </patternFill>
      </fill>
      <alignment horizontal="center" vertical="center" textRotation="0" wrapText="0" indent="0" justifyLastLine="0" shrinkToFit="0" readingOrder="0"/>
    </dxf>
  </dxfs>
  <tableStyles count="1" defaultTableStyle="TableStyleMedium2" defaultPivotStyle="PivotStyleLight16">
    <tableStyle name="Invisible" pivot="0" table="0" count="0" xr9:uid="{BDFCBA0C-0FAD-47E9-B8E0-311E6D449765}"/>
  </tableStyles>
  <colors>
    <mruColors>
      <color rgb="FF009688"/>
      <color rgb="FF00695C"/>
      <color rgb="FFBCB8B9"/>
      <color rgb="FF8BC34A"/>
      <color rgb="FFF4433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 2025.xlsx]Pivot Table!PivotTable6</c:name>
    <c:fmtId val="1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rgbClr val="009688"/>
            </a:solidFill>
            <a:round/>
          </a:ln>
          <a:effectLst/>
        </c:spPr>
        <c:marker>
          <c:symbol val="circle"/>
          <c:size val="5"/>
          <c:spPr>
            <a:solidFill>
              <a:srgbClr val="009688"/>
            </a:solidFill>
            <a:ln w="9525">
              <a:solidFill>
                <a:srgbClr val="009688"/>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Table'!$K$3</c:f>
              <c:strCache>
                <c:ptCount val="1"/>
                <c:pt idx="0">
                  <c:v>Total</c:v>
                </c:pt>
              </c:strCache>
            </c:strRef>
          </c:tx>
          <c:spPr>
            <a:ln w="28575" cap="rnd">
              <a:solidFill>
                <a:srgbClr val="009688"/>
              </a:solidFill>
              <a:round/>
            </a:ln>
            <a:effectLst/>
          </c:spPr>
          <c:marker>
            <c:symbol val="circle"/>
            <c:size val="5"/>
            <c:spPr>
              <a:solidFill>
                <a:srgbClr val="009688"/>
              </a:solidFill>
              <a:ln w="9525">
                <a:solidFill>
                  <a:srgbClr val="009688"/>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Table'!$J$4:$J$11</c:f>
              <c:strCache>
                <c:ptCount val="7"/>
                <c:pt idx="0">
                  <c:v>Action Figure</c:v>
                </c:pt>
                <c:pt idx="1">
                  <c:v>Blender</c:v>
                </c:pt>
                <c:pt idx="2">
                  <c:v>Moisturizer</c:v>
                </c:pt>
                <c:pt idx="3">
                  <c:v>Novel</c:v>
                </c:pt>
                <c:pt idx="4">
                  <c:v>Smartphone</c:v>
                </c:pt>
                <c:pt idx="5">
                  <c:v>Sneakers</c:v>
                </c:pt>
                <c:pt idx="6">
                  <c:v>Tent</c:v>
                </c:pt>
              </c:strCache>
            </c:strRef>
          </c:cat>
          <c:val>
            <c:numRef>
              <c:f>'Pivot Table'!$K$4:$K$11</c:f>
              <c:numCache>
                <c:formatCode>General</c:formatCode>
                <c:ptCount val="7"/>
                <c:pt idx="0">
                  <c:v>456</c:v>
                </c:pt>
                <c:pt idx="1">
                  <c:v>635</c:v>
                </c:pt>
                <c:pt idx="2">
                  <c:v>1178</c:v>
                </c:pt>
                <c:pt idx="3">
                  <c:v>898</c:v>
                </c:pt>
                <c:pt idx="4">
                  <c:v>235</c:v>
                </c:pt>
                <c:pt idx="5">
                  <c:v>799</c:v>
                </c:pt>
                <c:pt idx="6">
                  <c:v>504</c:v>
                </c:pt>
              </c:numCache>
            </c:numRef>
          </c:val>
          <c:smooth val="0"/>
          <c:extLst>
            <c:ext xmlns:c16="http://schemas.microsoft.com/office/drawing/2014/chart" uri="{C3380CC4-5D6E-409C-BE32-E72D297353CC}">
              <c16:uniqueId val="{00000000-0ED0-442B-9623-B4172117E747}"/>
            </c:ext>
          </c:extLst>
        </c:ser>
        <c:dLbls>
          <c:dLblPos val="t"/>
          <c:showLegendKey val="0"/>
          <c:showVal val="1"/>
          <c:showCatName val="0"/>
          <c:showSerName val="0"/>
          <c:showPercent val="0"/>
          <c:showBubbleSize val="0"/>
        </c:dLbls>
        <c:marker val="1"/>
        <c:smooth val="0"/>
        <c:axId val="1709023392"/>
        <c:axId val="1709037792"/>
      </c:lineChart>
      <c:catAx>
        <c:axId val="17090233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9037792"/>
        <c:crosses val="autoZero"/>
        <c:auto val="1"/>
        <c:lblAlgn val="ctr"/>
        <c:lblOffset val="100"/>
        <c:noMultiLvlLbl val="0"/>
      </c:catAx>
      <c:valAx>
        <c:axId val="170903779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902339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 2025.xlsx]Pivot Table!PivotTable5</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9688"/>
          </a:solidFill>
          <a:ln>
            <a:solidFill>
              <a:srgbClr val="009688"/>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Table'!$H$3</c:f>
              <c:strCache>
                <c:ptCount val="1"/>
                <c:pt idx="0">
                  <c:v>Total</c:v>
                </c:pt>
              </c:strCache>
            </c:strRef>
          </c:tx>
          <c:spPr>
            <a:solidFill>
              <a:srgbClr val="009688"/>
            </a:solidFill>
            <a:ln>
              <a:solidFill>
                <a:srgbClr val="009688"/>
              </a:solidFill>
            </a:ln>
            <a:effectLst/>
          </c:spPr>
          <c:invertIfNegative val="0"/>
          <c:cat>
            <c:strRef>
              <c:f>'Pivot Table'!$G$4:$G$14</c:f>
              <c:strCache>
                <c:ptCount val="10"/>
                <c:pt idx="0">
                  <c:v>Andrew</c:v>
                </c:pt>
                <c:pt idx="1">
                  <c:v>Anna</c:v>
                </c:pt>
                <c:pt idx="2">
                  <c:v>Cameron</c:v>
                </c:pt>
                <c:pt idx="3">
                  <c:v>Carolyn</c:v>
                </c:pt>
                <c:pt idx="4">
                  <c:v>Connor</c:v>
                </c:pt>
                <c:pt idx="5">
                  <c:v>Ella</c:v>
                </c:pt>
                <c:pt idx="6">
                  <c:v>Grace</c:v>
                </c:pt>
                <c:pt idx="7">
                  <c:v>Megan</c:v>
                </c:pt>
                <c:pt idx="8">
                  <c:v>Nicholas</c:v>
                </c:pt>
                <c:pt idx="9">
                  <c:v>Virginia</c:v>
                </c:pt>
              </c:strCache>
            </c:strRef>
          </c:cat>
          <c:val>
            <c:numRef>
              <c:f>'Pivot Table'!$H$4:$H$14</c:f>
              <c:numCache>
                <c:formatCode>_ "Rs."\ * #,##0_ ;_ "Rs."\ * \-#,##0_ ;_ "Rs."\ * "-"_ ;_ @_ </c:formatCode>
                <c:ptCount val="10"/>
                <c:pt idx="0">
                  <c:v>1591600</c:v>
                </c:pt>
                <c:pt idx="1">
                  <c:v>677600</c:v>
                </c:pt>
                <c:pt idx="2">
                  <c:v>1957000</c:v>
                </c:pt>
                <c:pt idx="3">
                  <c:v>1661400</c:v>
                </c:pt>
                <c:pt idx="4">
                  <c:v>1741200</c:v>
                </c:pt>
                <c:pt idx="5">
                  <c:v>1110000</c:v>
                </c:pt>
                <c:pt idx="6">
                  <c:v>1777400</c:v>
                </c:pt>
                <c:pt idx="7">
                  <c:v>1065400</c:v>
                </c:pt>
                <c:pt idx="8">
                  <c:v>784400</c:v>
                </c:pt>
                <c:pt idx="9">
                  <c:v>578500</c:v>
                </c:pt>
              </c:numCache>
            </c:numRef>
          </c:val>
          <c:extLst>
            <c:ext xmlns:c16="http://schemas.microsoft.com/office/drawing/2014/chart" uri="{C3380CC4-5D6E-409C-BE32-E72D297353CC}">
              <c16:uniqueId val="{00000000-E79E-449D-856F-53A0378DFE37}"/>
            </c:ext>
          </c:extLst>
        </c:ser>
        <c:dLbls>
          <c:showLegendKey val="0"/>
          <c:showVal val="0"/>
          <c:showCatName val="0"/>
          <c:showSerName val="0"/>
          <c:showPercent val="0"/>
          <c:showBubbleSize val="0"/>
        </c:dLbls>
        <c:gapWidth val="205"/>
        <c:overlap val="-27"/>
        <c:axId val="1635218608"/>
        <c:axId val="1635229168"/>
      </c:barChart>
      <c:catAx>
        <c:axId val="16352186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5229168"/>
        <c:crosses val="autoZero"/>
        <c:auto val="1"/>
        <c:lblAlgn val="ctr"/>
        <c:lblOffset val="100"/>
        <c:noMultiLvlLbl val="0"/>
      </c:catAx>
      <c:valAx>
        <c:axId val="1635229168"/>
        <c:scaling>
          <c:orientation val="minMax"/>
        </c:scaling>
        <c:delete val="0"/>
        <c:axPos val="l"/>
        <c:numFmt formatCode="_ &quot;Rs.&quot;\ * #,##0_ ;_ &quot;Rs.&quot;\ * \-#,##0_ ;_ &quot;Rs.&quot;\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5218608"/>
        <c:crosses val="autoZero"/>
        <c:crossBetween val="between"/>
      </c:valAx>
      <c:spPr>
        <a:noFill/>
        <a:ln>
          <a:solidFill>
            <a:srgbClr val="009688"/>
          </a:solid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 2025.xlsx]Pivot Table!PivotTable4</c:name>
    <c:fmtId val="25"/>
  </c:pivotSource>
  <c:chart>
    <c:autoTitleDeleted val="1"/>
    <c:pivotFmts>
      <c:pivotFmt>
        <c:idx val="0"/>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marker>
          <c:symbol val="circle"/>
          <c:size val="6"/>
          <c:spPr>
            <a:gradFill>
              <a:gsLst>
                <a:gs pos="0">
                  <a:schemeClr val="accent1"/>
                </a:gs>
                <a:gs pos="46000">
                  <a:schemeClr val="accent1"/>
                </a:gs>
                <a:gs pos="100000">
                  <a:schemeClr val="accent1">
                    <a:lumMod val="20000"/>
                    <a:lumOff val="80000"/>
                    <a:alpha val="0"/>
                  </a:schemeClr>
                </a:gs>
              </a:gsLst>
              <a:path path="circle">
                <a:fillToRect l="50000" t="-80000" r="50000" b="180000"/>
              </a:path>
            </a:gradFill>
            <a:ln w="9525" cap="flat" cmpd="sng" algn="ctr">
              <a:solidFill>
                <a:schemeClr val="accent1">
                  <a:shade val="95000"/>
                </a:schemeClr>
              </a:solidFill>
              <a:round/>
            </a:ln>
            <a:effectLst/>
          </c:spPr>
        </c:marker>
        <c:dLbl>
          <c:idx val="0"/>
          <c:spPr>
            <a:solidFill>
              <a:srgbClr val="E3DED1">
                <a:lumMod val="50000"/>
              </a:srgbClr>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marker>
          <c:symbol val="none"/>
        </c:marker>
        <c:dLbl>
          <c:idx val="0"/>
          <c:spPr>
            <a:solidFill>
              <a:srgbClr val="E3DED1">
                <a:lumMod val="50000"/>
              </a:srgbClr>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rgbClr val="009688"/>
          </a:solidFill>
          <a:ln>
            <a:noFill/>
          </a:ln>
          <a:effectLst/>
        </c:spPr>
        <c:marker>
          <c:symbol val="none"/>
        </c:marker>
        <c:dLbl>
          <c:idx val="0"/>
          <c:spPr>
            <a:solidFill>
              <a:srgbClr val="E3DED1">
                <a:lumMod val="50000"/>
              </a:srgbClr>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barChart>
        <c:barDir val="bar"/>
        <c:grouping val="clustered"/>
        <c:varyColors val="0"/>
        <c:ser>
          <c:idx val="0"/>
          <c:order val="0"/>
          <c:tx>
            <c:strRef>
              <c:f>'Pivot Table'!$E$3</c:f>
              <c:strCache>
                <c:ptCount val="1"/>
                <c:pt idx="0">
                  <c:v>Total</c:v>
                </c:pt>
              </c:strCache>
            </c:strRef>
          </c:tx>
          <c:spPr>
            <a:solidFill>
              <a:srgbClr val="009688"/>
            </a:solidFill>
            <a:ln>
              <a:noFill/>
            </a:ln>
            <a:effectLst/>
          </c:spPr>
          <c:invertIfNegative val="0"/>
          <c:dLbls>
            <c:spPr>
              <a:solidFill>
                <a:srgbClr val="E3DED1">
                  <a:lumMod val="50000"/>
                </a:srgbClr>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'Pivot Table'!$D$4:$D$11</c:f>
              <c:strCache>
                <c:ptCount val="7"/>
                <c:pt idx="0">
                  <c:v>Action Figure</c:v>
                </c:pt>
                <c:pt idx="1">
                  <c:v>Blender</c:v>
                </c:pt>
                <c:pt idx="2">
                  <c:v>Moisturizer</c:v>
                </c:pt>
                <c:pt idx="3">
                  <c:v>Novel</c:v>
                </c:pt>
                <c:pt idx="4">
                  <c:v>Smartphone</c:v>
                </c:pt>
                <c:pt idx="5">
                  <c:v>Sneakers</c:v>
                </c:pt>
                <c:pt idx="6">
                  <c:v>Tent</c:v>
                </c:pt>
              </c:strCache>
            </c:strRef>
          </c:cat>
          <c:val>
            <c:numRef>
              <c:f>'Pivot Table'!$E$4:$E$11</c:f>
              <c:numCache>
                <c:formatCode>_ "Rs."\ * #,##0_ ;_ "Rs."\ * \-#,##0_ ;_ "Rs."\ * "-"_ ;_ @_ </c:formatCode>
                <c:ptCount val="7"/>
                <c:pt idx="0">
                  <c:v>547200</c:v>
                </c:pt>
                <c:pt idx="1">
                  <c:v>2222500</c:v>
                </c:pt>
                <c:pt idx="2">
                  <c:v>706800</c:v>
                </c:pt>
                <c:pt idx="3">
                  <c:v>898000</c:v>
                </c:pt>
                <c:pt idx="4">
                  <c:v>2350000</c:v>
                </c:pt>
                <c:pt idx="5">
                  <c:v>3196000</c:v>
                </c:pt>
                <c:pt idx="6">
                  <c:v>3024000</c:v>
                </c:pt>
              </c:numCache>
            </c:numRef>
          </c:val>
          <c:extLst>
            <c:ext xmlns:c16="http://schemas.microsoft.com/office/drawing/2014/chart" uri="{C3380CC4-5D6E-409C-BE32-E72D297353CC}">
              <c16:uniqueId val="{00000000-EC12-4D96-929E-0AE923D13389}"/>
            </c:ext>
          </c:extLst>
        </c:ser>
        <c:dLbls>
          <c:showLegendKey val="0"/>
          <c:showVal val="0"/>
          <c:showCatName val="0"/>
          <c:showSerName val="0"/>
          <c:showPercent val="0"/>
          <c:showBubbleSize val="0"/>
        </c:dLbls>
        <c:gapWidth val="280"/>
        <c:overlap val="-73"/>
        <c:axId val="1682562832"/>
        <c:axId val="1635228688"/>
      </c:barChart>
      <c:catAx>
        <c:axId val="1682562832"/>
        <c:scaling>
          <c:orientation val="minMax"/>
        </c:scaling>
        <c:delete val="0"/>
        <c:axPos val="l"/>
        <c:numFmt formatCode="General" sourceLinked="1"/>
        <c:majorTickMark val="none"/>
        <c:minorTickMark val="none"/>
        <c:tickLblPos val="nextTo"/>
        <c:spPr>
          <a:noFill/>
          <a:ln w="19050" cap="flat" cmpd="sng" algn="ctr">
            <a:solidFill>
              <a:schemeClr val="tx1">
                <a:lumMod val="15000"/>
                <a:lumOff val="85000"/>
              </a:schemeClr>
            </a:solidFill>
            <a:round/>
            <a:headEnd type="none" w="sm" len="sm"/>
            <a:tailEnd type="none" w="sm" len="sm"/>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5228688"/>
        <c:crosses val="autoZero"/>
        <c:auto val="1"/>
        <c:lblAlgn val="ctr"/>
        <c:lblOffset val="100"/>
        <c:noMultiLvlLbl val="0"/>
      </c:catAx>
      <c:valAx>
        <c:axId val="1635228688"/>
        <c:scaling>
          <c:orientation val="minMax"/>
        </c:scaling>
        <c:delete val="1"/>
        <c:axPos val="b"/>
        <c:numFmt formatCode="_ &quot;Rs.&quot;\ * #,##0_ ;_ &quot;Rs.&quot;\ * \-#,##0_ ;_ &quot;Rs.&quot;\ * &quot;-&quot;_ ;_ @_ " sourceLinked="1"/>
        <c:majorTickMark val="none"/>
        <c:minorTickMark val="none"/>
        <c:tickLblPos val="nextTo"/>
        <c:crossAx val="1682562832"/>
        <c:crosses val="autoZero"/>
        <c:crossBetween val="between"/>
      </c:valAx>
      <c:spPr>
        <a:noFill/>
        <a:ln>
          <a:noFill/>
        </a:ln>
        <a:effectLst>
          <a:softEdge rad="304800"/>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pivotFmt>
      <c:pivotFmt>
        <c:idx val="9"/>
        <c:spPr>
          <a:solidFill>
            <a:schemeClr val="accent1"/>
          </a:solidFill>
          <a:ln w="25400">
            <a:solidFill>
              <a:schemeClr val="lt1"/>
            </a:solidFill>
          </a:ln>
          <a:effectLst/>
          <a:sp3d contourW="25400">
            <a:contourClr>
              <a:schemeClr val="lt1"/>
            </a:contourClr>
          </a:sp3d>
        </c:spPr>
      </c:pivotFmt>
      <c:pivotFmt>
        <c:idx val="10"/>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v>Total</c:v>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E891-45C6-B19E-451503B44532}"/>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E891-45C6-B19E-451503B44532}"/>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E891-45C6-B19E-451503B44532}"/>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E891-45C6-B19E-451503B44532}"/>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Lit>
              <c:ptCount val="4"/>
              <c:pt idx="0">
                <c:v>East</c:v>
              </c:pt>
              <c:pt idx="1">
                <c:v>North</c:v>
              </c:pt>
              <c:pt idx="2">
                <c:v>South</c:v>
              </c:pt>
              <c:pt idx="3">
                <c:v>West</c:v>
              </c:pt>
            </c:strLit>
          </c:cat>
          <c:val>
            <c:numLit>
              <c:formatCode>General</c:formatCode>
              <c:ptCount val="4"/>
              <c:pt idx="0">
                <c:v>3534400</c:v>
              </c:pt>
              <c:pt idx="1">
                <c:v>2661400</c:v>
              </c:pt>
              <c:pt idx="2">
                <c:v>2870600</c:v>
              </c:pt>
              <c:pt idx="3">
                <c:v>3878100</c:v>
              </c:pt>
            </c:numLit>
          </c:val>
          <c:extLst>
            <c:ext xmlns:c16="http://schemas.microsoft.com/office/drawing/2014/chart" uri="{C3380CC4-5D6E-409C-BE32-E72D297353CC}">
              <c16:uniqueId val="{00000008-E891-45C6-B19E-451503B44532}"/>
            </c:ext>
          </c:extLst>
        </c:ser>
        <c:dLbls>
          <c:showLegendKey val="0"/>
          <c:showVal val="0"/>
          <c:showCatName val="0"/>
          <c:showSerName val="0"/>
          <c:showPercent val="0"/>
          <c:showBubbleSize val="0"/>
          <c:showLeaderLines val="0"/>
        </c:dLbls>
      </c:pie3D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 2025.xlsx]Pivot Table!PivotTable4</c:name>
    <c:fmtId val="21"/>
  </c:pivotSource>
  <c:chart>
    <c:autoTitleDeleted val="1"/>
    <c:pivotFmts>
      <c:pivotFmt>
        <c:idx val="0"/>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marker>
          <c:symbol val="none"/>
        </c:marker>
        <c:dLbl>
          <c:idx val="0"/>
          <c:spPr>
            <a:solidFill>
              <a:srgbClr val="E3DED1">
                <a:lumMod val="50000"/>
              </a:srgbClr>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barChart>
        <c:barDir val="bar"/>
        <c:grouping val="clustered"/>
        <c:varyColors val="0"/>
        <c:ser>
          <c:idx val="0"/>
          <c:order val="0"/>
          <c:tx>
            <c:strRef>
              <c:f>'Pivot Table'!$E$3</c:f>
              <c:strCache>
                <c:ptCount val="1"/>
                <c:pt idx="0">
                  <c:v>Total</c:v>
                </c:pt>
              </c:strCache>
            </c:strRef>
          </c:tx>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invertIfNegative val="0"/>
          <c:dLbls>
            <c:spPr>
              <a:solidFill>
                <a:srgbClr val="E3DED1">
                  <a:lumMod val="50000"/>
                </a:srgbClr>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'Pivot Table'!$D$4:$D$11</c:f>
              <c:strCache>
                <c:ptCount val="7"/>
                <c:pt idx="0">
                  <c:v>Action Figure</c:v>
                </c:pt>
                <c:pt idx="1">
                  <c:v>Blender</c:v>
                </c:pt>
                <c:pt idx="2">
                  <c:v>Moisturizer</c:v>
                </c:pt>
                <c:pt idx="3">
                  <c:v>Novel</c:v>
                </c:pt>
                <c:pt idx="4">
                  <c:v>Smartphone</c:v>
                </c:pt>
                <c:pt idx="5">
                  <c:v>Sneakers</c:v>
                </c:pt>
                <c:pt idx="6">
                  <c:v>Tent</c:v>
                </c:pt>
              </c:strCache>
            </c:strRef>
          </c:cat>
          <c:val>
            <c:numRef>
              <c:f>'Pivot Table'!$E$4:$E$11</c:f>
              <c:numCache>
                <c:formatCode>_ "Rs."\ * #,##0_ ;_ "Rs."\ * \-#,##0_ ;_ "Rs."\ * "-"_ ;_ @_ </c:formatCode>
                <c:ptCount val="7"/>
                <c:pt idx="0">
                  <c:v>547200</c:v>
                </c:pt>
                <c:pt idx="1">
                  <c:v>2222500</c:v>
                </c:pt>
                <c:pt idx="2">
                  <c:v>706800</c:v>
                </c:pt>
                <c:pt idx="3">
                  <c:v>898000</c:v>
                </c:pt>
                <c:pt idx="4">
                  <c:v>2350000</c:v>
                </c:pt>
                <c:pt idx="5">
                  <c:v>3196000</c:v>
                </c:pt>
                <c:pt idx="6">
                  <c:v>3024000</c:v>
                </c:pt>
              </c:numCache>
            </c:numRef>
          </c:val>
          <c:extLst>
            <c:ext xmlns:c16="http://schemas.microsoft.com/office/drawing/2014/chart" uri="{C3380CC4-5D6E-409C-BE32-E72D297353CC}">
              <c16:uniqueId val="{00000000-C10D-4F2C-8139-96027C8E6F8B}"/>
            </c:ext>
          </c:extLst>
        </c:ser>
        <c:dLbls>
          <c:showLegendKey val="0"/>
          <c:showVal val="0"/>
          <c:showCatName val="0"/>
          <c:showSerName val="0"/>
          <c:showPercent val="0"/>
          <c:showBubbleSize val="0"/>
        </c:dLbls>
        <c:gapWidth val="280"/>
        <c:overlap val="-73"/>
        <c:axId val="1682562832"/>
        <c:axId val="1635228688"/>
      </c:barChart>
      <c:catAx>
        <c:axId val="1682562832"/>
        <c:scaling>
          <c:orientation val="minMax"/>
        </c:scaling>
        <c:delete val="0"/>
        <c:axPos val="l"/>
        <c:numFmt formatCode="General" sourceLinked="1"/>
        <c:majorTickMark val="none"/>
        <c:minorTickMark val="none"/>
        <c:tickLblPos val="nextTo"/>
        <c:spPr>
          <a:noFill/>
          <a:ln w="19050" cap="flat" cmpd="sng" algn="ctr">
            <a:solidFill>
              <a:schemeClr val="tx1">
                <a:lumMod val="15000"/>
                <a:lumOff val="85000"/>
              </a:schemeClr>
            </a:solidFill>
            <a:round/>
            <a:headEnd type="none" w="sm" len="sm"/>
            <a:tailEnd type="none" w="sm" len="sm"/>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5228688"/>
        <c:crosses val="autoZero"/>
        <c:auto val="1"/>
        <c:lblAlgn val="ctr"/>
        <c:lblOffset val="100"/>
        <c:noMultiLvlLbl val="0"/>
      </c:catAx>
      <c:valAx>
        <c:axId val="1635228688"/>
        <c:scaling>
          <c:orientation val="minMax"/>
        </c:scaling>
        <c:delete val="1"/>
        <c:axPos val="b"/>
        <c:numFmt formatCode="_ &quot;Rs.&quot;\ * #,##0_ ;_ &quot;Rs.&quot;\ * \-#,##0_ ;_ &quot;Rs.&quot;\ * &quot;-&quot;_ ;_ @_ " sourceLinked="1"/>
        <c:majorTickMark val="none"/>
        <c:minorTickMark val="none"/>
        <c:tickLblPos val="nextTo"/>
        <c:crossAx val="1682562832"/>
        <c:crosses val="autoZero"/>
        <c:crossBetween val="between"/>
      </c:valAx>
      <c:spPr>
        <a:noFill/>
        <a:ln>
          <a:noFill/>
        </a:ln>
        <a:effectLst>
          <a:softEdge rad="304800"/>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 2025.xlsx]Pivot Table!PivotTable5</c:name>
    <c:fmtId val="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Table'!$H$3</c:f>
              <c:strCache>
                <c:ptCount val="1"/>
                <c:pt idx="0">
                  <c:v>Total</c:v>
                </c:pt>
              </c:strCache>
            </c:strRef>
          </c:tx>
          <c:spPr>
            <a:solidFill>
              <a:schemeClr val="accent1"/>
            </a:solidFill>
            <a:ln>
              <a:noFill/>
            </a:ln>
            <a:effectLst/>
          </c:spPr>
          <c:invertIfNegative val="0"/>
          <c:cat>
            <c:strRef>
              <c:f>'Pivot Table'!$G$4:$G$14</c:f>
              <c:strCache>
                <c:ptCount val="10"/>
                <c:pt idx="0">
                  <c:v>Andrew</c:v>
                </c:pt>
                <c:pt idx="1">
                  <c:v>Anna</c:v>
                </c:pt>
                <c:pt idx="2">
                  <c:v>Cameron</c:v>
                </c:pt>
                <c:pt idx="3">
                  <c:v>Carolyn</c:v>
                </c:pt>
                <c:pt idx="4">
                  <c:v>Connor</c:v>
                </c:pt>
                <c:pt idx="5">
                  <c:v>Ella</c:v>
                </c:pt>
                <c:pt idx="6">
                  <c:v>Grace</c:v>
                </c:pt>
                <c:pt idx="7">
                  <c:v>Megan</c:v>
                </c:pt>
                <c:pt idx="8">
                  <c:v>Nicholas</c:v>
                </c:pt>
                <c:pt idx="9">
                  <c:v>Virginia</c:v>
                </c:pt>
              </c:strCache>
            </c:strRef>
          </c:cat>
          <c:val>
            <c:numRef>
              <c:f>'Pivot Table'!$H$4:$H$14</c:f>
              <c:numCache>
                <c:formatCode>_ "Rs."\ * #,##0_ ;_ "Rs."\ * \-#,##0_ ;_ "Rs."\ * "-"_ ;_ @_ </c:formatCode>
                <c:ptCount val="10"/>
                <c:pt idx="0">
                  <c:v>1591600</c:v>
                </c:pt>
                <c:pt idx="1">
                  <c:v>677600</c:v>
                </c:pt>
                <c:pt idx="2">
                  <c:v>1957000</c:v>
                </c:pt>
                <c:pt idx="3">
                  <c:v>1661400</c:v>
                </c:pt>
                <c:pt idx="4">
                  <c:v>1741200</c:v>
                </c:pt>
                <c:pt idx="5">
                  <c:v>1110000</c:v>
                </c:pt>
                <c:pt idx="6">
                  <c:v>1777400</c:v>
                </c:pt>
                <c:pt idx="7">
                  <c:v>1065400</c:v>
                </c:pt>
                <c:pt idx="8">
                  <c:v>784400</c:v>
                </c:pt>
                <c:pt idx="9">
                  <c:v>578500</c:v>
                </c:pt>
              </c:numCache>
            </c:numRef>
          </c:val>
          <c:extLst>
            <c:ext xmlns:c16="http://schemas.microsoft.com/office/drawing/2014/chart" uri="{C3380CC4-5D6E-409C-BE32-E72D297353CC}">
              <c16:uniqueId val="{00000000-8B8A-4D80-BBBE-1FD70DFBAF2B}"/>
            </c:ext>
          </c:extLst>
        </c:ser>
        <c:dLbls>
          <c:showLegendKey val="0"/>
          <c:showVal val="0"/>
          <c:showCatName val="0"/>
          <c:showSerName val="0"/>
          <c:showPercent val="0"/>
          <c:showBubbleSize val="0"/>
        </c:dLbls>
        <c:gapWidth val="205"/>
        <c:overlap val="-27"/>
        <c:axId val="1635218608"/>
        <c:axId val="1635229168"/>
      </c:barChart>
      <c:catAx>
        <c:axId val="16352186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5229168"/>
        <c:crosses val="autoZero"/>
        <c:auto val="1"/>
        <c:lblAlgn val="ctr"/>
        <c:lblOffset val="100"/>
        <c:noMultiLvlLbl val="0"/>
      </c:catAx>
      <c:valAx>
        <c:axId val="1635229168"/>
        <c:scaling>
          <c:orientation val="minMax"/>
        </c:scaling>
        <c:delete val="0"/>
        <c:axPos val="l"/>
        <c:numFmt formatCode="_ &quot;Rs.&quot;\ * #,##0_ ;_ &quot;Rs.&quot;\ * \-#,##0_ ;_ &quot;Rs.&quot;\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521860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 2025.xlsx]Pivot Table!PivotTable6</c:name>
    <c:fmtId val="8"/>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Table'!$K$3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Table'!$J$4:$J$11</c:f>
              <c:strCache>
                <c:ptCount val="7"/>
                <c:pt idx="0">
                  <c:v>Action Figure</c:v>
                </c:pt>
                <c:pt idx="1">
                  <c:v>Blender</c:v>
                </c:pt>
                <c:pt idx="2">
                  <c:v>Moisturizer</c:v>
                </c:pt>
                <c:pt idx="3">
                  <c:v>Novel</c:v>
                </c:pt>
                <c:pt idx="4">
                  <c:v>Smartphone</c:v>
                </c:pt>
                <c:pt idx="5">
                  <c:v>Sneakers</c:v>
                </c:pt>
                <c:pt idx="6">
                  <c:v>Tent</c:v>
                </c:pt>
              </c:strCache>
            </c:strRef>
          </c:cat>
          <c:val>
            <c:numRef>
              <c:f>'Pivot Table'!$K$4:$K$11</c:f>
              <c:numCache>
                <c:formatCode>General</c:formatCode>
                <c:ptCount val="7"/>
                <c:pt idx="0">
                  <c:v>456</c:v>
                </c:pt>
                <c:pt idx="1">
                  <c:v>635</c:v>
                </c:pt>
                <c:pt idx="2">
                  <c:v>1178</c:v>
                </c:pt>
                <c:pt idx="3">
                  <c:v>898</c:v>
                </c:pt>
                <c:pt idx="4">
                  <c:v>235</c:v>
                </c:pt>
                <c:pt idx="5">
                  <c:v>799</c:v>
                </c:pt>
                <c:pt idx="6">
                  <c:v>504</c:v>
                </c:pt>
              </c:numCache>
            </c:numRef>
          </c:val>
          <c:smooth val="0"/>
          <c:extLst>
            <c:ext xmlns:c16="http://schemas.microsoft.com/office/drawing/2014/chart" uri="{C3380CC4-5D6E-409C-BE32-E72D297353CC}">
              <c16:uniqueId val="{00000000-B2D4-4338-A4E8-380B602CEE8E}"/>
            </c:ext>
          </c:extLst>
        </c:ser>
        <c:dLbls>
          <c:dLblPos val="t"/>
          <c:showLegendKey val="0"/>
          <c:showVal val="1"/>
          <c:showCatName val="0"/>
          <c:showSerName val="0"/>
          <c:showPercent val="0"/>
          <c:showBubbleSize val="0"/>
        </c:dLbls>
        <c:marker val="1"/>
        <c:smooth val="0"/>
        <c:axId val="1709023392"/>
        <c:axId val="1709037792"/>
      </c:lineChart>
      <c:catAx>
        <c:axId val="17090233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9037792"/>
        <c:crosses val="autoZero"/>
        <c:auto val="1"/>
        <c:lblAlgn val="ctr"/>
        <c:lblOffset val="100"/>
        <c:noMultiLvlLbl val="0"/>
      </c:catAx>
      <c:valAx>
        <c:axId val="170903779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902339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 2025.xlsx]Pivot Table!PivotTable1</c:name>
    <c:fmtId val="3"/>
  </c:pivotSource>
  <c:chart>
    <c:autoTitleDeleted val="1"/>
    <c:pivotFmts>
      <c:pivotFmt>
        <c:idx val="0"/>
        <c:spPr>
          <a:solidFill>
            <a:schemeClr val="accent1"/>
          </a:solidFill>
          <a:ln w="25400">
            <a:solidFill>
              <a:schemeClr val="lt1"/>
            </a:solidFill>
          </a:ln>
          <a:effectLst/>
          <a:sp3d contourW="25400">
            <a:contourClr>
              <a:schemeClr val="lt1"/>
            </a:contourClr>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Table'!$B$7</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dPt>
          <c:dPt>
            <c:idx val="1"/>
            <c:bubble3D val="0"/>
            <c:spPr>
              <a:solidFill>
                <a:schemeClr val="accent2"/>
              </a:solidFill>
              <a:ln w="25400">
                <a:solidFill>
                  <a:schemeClr val="lt1"/>
                </a:solidFill>
              </a:ln>
              <a:effectLst/>
              <a:sp3d contourW="25400">
                <a:contourClr>
                  <a:schemeClr val="lt1"/>
                </a:contourClr>
              </a:sp3d>
            </c:spPr>
          </c:dPt>
          <c:dPt>
            <c:idx val="2"/>
            <c:bubble3D val="0"/>
            <c:spPr>
              <a:solidFill>
                <a:schemeClr val="accent3"/>
              </a:solidFill>
              <a:ln w="25400">
                <a:solidFill>
                  <a:schemeClr val="lt1"/>
                </a:solidFill>
              </a:ln>
              <a:effectLst/>
              <a:sp3d contourW="25400">
                <a:contourClr>
                  <a:schemeClr val="lt1"/>
                </a:contourClr>
              </a:sp3d>
            </c:spPr>
          </c:dPt>
          <c:dPt>
            <c:idx val="3"/>
            <c:bubble3D val="0"/>
            <c:spPr>
              <a:solidFill>
                <a:schemeClr val="accent4"/>
              </a:solidFill>
              <a:ln w="25400">
                <a:solidFill>
                  <a:schemeClr val="lt1"/>
                </a:solidFill>
              </a:ln>
              <a:effectLst/>
              <a:sp3d contourW="25400">
                <a:contourClr>
                  <a:schemeClr val="lt1"/>
                </a:contourClr>
              </a:sp3d>
            </c:spPr>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Table'!$A$8:$A$12</c:f>
              <c:strCache>
                <c:ptCount val="4"/>
                <c:pt idx="0">
                  <c:v>East</c:v>
                </c:pt>
                <c:pt idx="1">
                  <c:v>North</c:v>
                </c:pt>
                <c:pt idx="2">
                  <c:v>South</c:v>
                </c:pt>
                <c:pt idx="3">
                  <c:v>West</c:v>
                </c:pt>
              </c:strCache>
            </c:strRef>
          </c:cat>
          <c:val>
            <c:numRef>
              <c:f>'Pivot Table'!$B$8:$B$12</c:f>
              <c:numCache>
                <c:formatCode>General</c:formatCode>
                <c:ptCount val="4"/>
                <c:pt idx="0">
                  <c:v>3534400</c:v>
                </c:pt>
                <c:pt idx="1">
                  <c:v>2661400</c:v>
                </c:pt>
                <c:pt idx="2">
                  <c:v>2870600</c:v>
                </c:pt>
                <c:pt idx="3">
                  <c:v>3878100</c:v>
                </c:pt>
              </c:numCache>
            </c:numRef>
          </c:val>
          <c:extLst>
            <c:ext xmlns:c16="http://schemas.microsoft.com/office/drawing/2014/chart" uri="{C3380CC4-5D6E-409C-BE32-E72D297353CC}">
              <c16:uniqueId val="{00000000-8EAE-4BD2-A633-40E04301F60C}"/>
            </c:ext>
          </c:extLst>
        </c:ser>
        <c:dLbls>
          <c:showLegendKey val="0"/>
          <c:showVal val="0"/>
          <c:showCatName val="0"/>
          <c:showSerName val="0"/>
          <c:showPercent val="0"/>
          <c:showBubbleSize val="0"/>
          <c:showLeaderLines val="0"/>
        </c:dLbls>
      </c:pie3D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3">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9050" cap="flat" cmpd="sng" algn="ctr">
        <a:solidFill>
          <a:schemeClr val="tx1">
            <a:lumMod val="15000"/>
            <a:lumOff val="85000"/>
          </a:schemeClr>
        </a:solidFill>
        <a:round/>
        <a:headEnd type="none" w="sm" len="sm"/>
        <a:tailEnd type="none" w="sm" len="sm"/>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a:gsLst>
          <a:gs pos="0">
            <a:schemeClr val="phClr"/>
          </a:gs>
          <a:gs pos="46000">
            <a:schemeClr val="phClr"/>
          </a:gs>
          <a:gs pos="100000">
            <a:schemeClr val="phClr">
              <a:lumMod val="20000"/>
              <a:lumOff val="80000"/>
              <a:alpha val="0"/>
            </a:schemeClr>
          </a:gs>
        </a:gsLst>
        <a:path path="circle">
          <a:fillToRect l="50000" t="-80000" r="50000" b="180000"/>
        </a:path>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99000">
              <a:schemeClr val="tx1">
                <a:lumMod val="25000"/>
                <a:lumOff val="75000"/>
              </a:schemeClr>
            </a:gs>
            <a:gs pos="0">
              <a:schemeClr val="tx1">
                <a:lumMod val="15000"/>
                <a:lumOff val="8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15000"/>
                <a:lumOff val="85000"/>
              </a:schemeClr>
            </a:gs>
            <a:gs pos="0">
              <a:schemeClr val="tx1">
                <a:lumMod val="5000"/>
                <a:lumOff val="9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3">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9050" cap="flat" cmpd="sng" algn="ctr">
        <a:solidFill>
          <a:schemeClr val="tx1">
            <a:lumMod val="15000"/>
            <a:lumOff val="85000"/>
          </a:schemeClr>
        </a:solidFill>
        <a:round/>
        <a:headEnd type="none" w="sm" len="sm"/>
        <a:tailEnd type="none" w="sm" len="sm"/>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a:gsLst>
          <a:gs pos="0">
            <a:schemeClr val="phClr"/>
          </a:gs>
          <a:gs pos="46000">
            <a:schemeClr val="phClr"/>
          </a:gs>
          <a:gs pos="100000">
            <a:schemeClr val="phClr">
              <a:lumMod val="20000"/>
              <a:lumOff val="80000"/>
              <a:alpha val="0"/>
            </a:schemeClr>
          </a:gs>
        </a:gsLst>
        <a:path path="circle">
          <a:fillToRect l="50000" t="-80000" r="50000" b="180000"/>
        </a:path>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99000">
              <a:schemeClr val="tx1">
                <a:lumMod val="25000"/>
                <a:lumOff val="75000"/>
              </a:schemeClr>
            </a:gs>
            <a:gs pos="0">
              <a:schemeClr val="tx1">
                <a:lumMod val="15000"/>
                <a:lumOff val="8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15000"/>
                <a:lumOff val="85000"/>
              </a:schemeClr>
            </a:gs>
            <a:gs pos="0">
              <a:schemeClr val="tx1">
                <a:lumMod val="5000"/>
                <a:lumOff val="9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8.sv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chart" Target="../charts/chart4.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chart" Target="../charts/chart3.xml"/><Relationship Id="rId5" Type="http://schemas.openxmlformats.org/officeDocument/2006/relationships/image" Target="../media/image5.png"/><Relationship Id="rId10" Type="http://schemas.openxmlformats.org/officeDocument/2006/relationships/chart" Target="../charts/chart2.xml"/><Relationship Id="rId4" Type="http://schemas.openxmlformats.org/officeDocument/2006/relationships/image" Target="../media/image4.svg"/><Relationship Id="rId9"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0</xdr:col>
      <xdr:colOff>54621</xdr:colOff>
      <xdr:row>0</xdr:row>
      <xdr:rowOff>53502</xdr:rowOff>
    </xdr:from>
    <xdr:to>
      <xdr:col>18</xdr:col>
      <xdr:colOff>531721</xdr:colOff>
      <xdr:row>5</xdr:row>
      <xdr:rowOff>127678</xdr:rowOff>
    </xdr:to>
    <xdr:sp macro="" textlink="">
      <xdr:nvSpPr>
        <xdr:cNvPr id="3" name="Rectangle: Rounded Corners 2">
          <a:extLst>
            <a:ext uri="{FF2B5EF4-FFF2-40B4-BE49-F238E27FC236}">
              <a16:creationId xmlns:a16="http://schemas.microsoft.com/office/drawing/2014/main" id="{8F6DC2DA-9BDB-454B-ADBB-F006AD78A938}"/>
            </a:ext>
          </a:extLst>
        </xdr:cNvPr>
        <xdr:cNvSpPr/>
      </xdr:nvSpPr>
      <xdr:spPr>
        <a:xfrm>
          <a:off x="54621" y="53502"/>
          <a:ext cx="11467485" cy="1002253"/>
        </a:xfrm>
        <a:prstGeom prst="roundRect">
          <a:avLst/>
        </a:prstGeom>
        <a:solidFill>
          <a:srgbClr val="009688"/>
        </a:soli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marL="0" indent="0" algn="l"/>
          <a:endParaRPr lang="en-IN" sz="1100">
            <a:solidFill>
              <a:schemeClr val="dk1"/>
            </a:solidFill>
            <a:latin typeface="+mn-lt"/>
            <a:ea typeface="+mn-ea"/>
            <a:cs typeface="+mn-cs"/>
          </a:endParaRPr>
        </a:p>
      </xdr:txBody>
    </xdr:sp>
    <xdr:clientData/>
  </xdr:twoCellAnchor>
  <xdr:twoCellAnchor>
    <xdr:from>
      <xdr:col>0</xdr:col>
      <xdr:colOff>70825</xdr:colOff>
      <xdr:row>6</xdr:row>
      <xdr:rowOff>21004</xdr:rowOff>
    </xdr:from>
    <xdr:to>
      <xdr:col>3</xdr:col>
      <xdr:colOff>393060</xdr:colOff>
      <xdr:row>10</xdr:row>
      <xdr:rowOff>100795</xdr:rowOff>
    </xdr:to>
    <xdr:grpSp>
      <xdr:nvGrpSpPr>
        <xdr:cNvPr id="37" name="Group 36">
          <a:extLst>
            <a:ext uri="{FF2B5EF4-FFF2-40B4-BE49-F238E27FC236}">
              <a16:creationId xmlns:a16="http://schemas.microsoft.com/office/drawing/2014/main" id="{E49E1377-4057-F6D5-AF96-D0283CEF94FF}"/>
            </a:ext>
          </a:extLst>
        </xdr:cNvPr>
        <xdr:cNvGrpSpPr/>
      </xdr:nvGrpSpPr>
      <xdr:grpSpPr>
        <a:xfrm>
          <a:off x="70825" y="1129368"/>
          <a:ext cx="2157962" cy="818700"/>
          <a:chOff x="158750" y="1247042"/>
          <a:chExt cx="2153966" cy="822253"/>
        </a:xfrm>
      </xdr:grpSpPr>
      <xdr:sp macro="" textlink="">
        <xdr:nvSpPr>
          <xdr:cNvPr id="4" name="Rectangle: Rounded Corners 3">
            <a:extLst>
              <a:ext uri="{FF2B5EF4-FFF2-40B4-BE49-F238E27FC236}">
                <a16:creationId xmlns:a16="http://schemas.microsoft.com/office/drawing/2014/main" id="{007AB670-C4AB-4084-0632-04A47243BD68}"/>
              </a:ext>
            </a:extLst>
          </xdr:cNvPr>
          <xdr:cNvSpPr/>
        </xdr:nvSpPr>
        <xdr:spPr>
          <a:xfrm>
            <a:off x="158750" y="1247042"/>
            <a:ext cx="2153966" cy="822253"/>
          </a:xfrm>
          <a:prstGeom prst="roundRect">
            <a:avLst/>
          </a:prstGeom>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grpSp>
        <xdr:nvGrpSpPr>
          <xdr:cNvPr id="8" name="Group 7">
            <a:extLst>
              <a:ext uri="{FF2B5EF4-FFF2-40B4-BE49-F238E27FC236}">
                <a16:creationId xmlns:a16="http://schemas.microsoft.com/office/drawing/2014/main" id="{F65EEEC4-4080-5F76-A95B-561E2E1552AA}"/>
              </a:ext>
            </a:extLst>
          </xdr:cNvPr>
          <xdr:cNvGrpSpPr/>
        </xdr:nvGrpSpPr>
        <xdr:grpSpPr>
          <a:xfrm>
            <a:off x="184897" y="1276684"/>
            <a:ext cx="1996831" cy="756894"/>
            <a:chOff x="673100" y="1306367"/>
            <a:chExt cx="1993900" cy="751032"/>
          </a:xfrm>
        </xdr:grpSpPr>
        <xdr:sp macro="" textlink="">
          <xdr:nvSpPr>
            <xdr:cNvPr id="5" name="Rectangle: Rounded Corners 4">
              <a:extLst>
                <a:ext uri="{FF2B5EF4-FFF2-40B4-BE49-F238E27FC236}">
                  <a16:creationId xmlns:a16="http://schemas.microsoft.com/office/drawing/2014/main" id="{E1C757A7-EE3A-AE2A-F821-CA07298A2E0F}"/>
                </a:ext>
              </a:extLst>
            </xdr:cNvPr>
            <xdr:cNvSpPr/>
          </xdr:nvSpPr>
          <xdr:spPr>
            <a:xfrm>
              <a:off x="673100" y="1306367"/>
              <a:ext cx="696191" cy="751032"/>
            </a:xfrm>
            <a:prstGeom prst="roundRect">
              <a:avLst>
                <a:gd name="adj" fmla="val 14592"/>
              </a:avLst>
            </a:prstGeom>
            <a:solidFill>
              <a:srgbClr val="009688"/>
            </a:soli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sp macro="" textlink="">
          <xdr:nvSpPr>
            <xdr:cNvPr id="6" name="TextBox 5">
              <a:extLst>
                <a:ext uri="{FF2B5EF4-FFF2-40B4-BE49-F238E27FC236}">
                  <a16:creationId xmlns:a16="http://schemas.microsoft.com/office/drawing/2014/main" id="{A2D3FEF1-AB85-FE2B-553E-E97E950A0904}"/>
                </a:ext>
              </a:extLst>
            </xdr:cNvPr>
            <xdr:cNvSpPr txBox="1"/>
          </xdr:nvSpPr>
          <xdr:spPr>
            <a:xfrm>
              <a:off x="1605973" y="1392959"/>
              <a:ext cx="953654" cy="184150"/>
            </a:xfrm>
            <a:prstGeom prst="rect">
              <a:avLst/>
            </a:prstGeom>
            <a:solidFill>
              <a:schemeClr val="lt1"/>
            </a:solidFill>
            <a:ln w="9525" cmpd="sng">
              <a:solidFill>
                <a:schemeClr val="lt1">
                  <a:shade val="50000"/>
                </a:schemeClr>
              </a:solidFill>
            </a:ln>
            <a:effectLst>
              <a:outerShdw blurRad="25400" dist="38100" dir="2700000" algn="tl" rotWithShape="0">
                <a:prstClr val="black">
                  <a:alpha val="40000"/>
                </a:prstClr>
              </a:outerShdw>
              <a:softEdge rad="0"/>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1">
                  <a:solidFill>
                    <a:srgbClr val="00695C"/>
                  </a:solidFill>
                </a:rPr>
                <a:t>TOTAL</a:t>
              </a:r>
              <a:r>
                <a:rPr lang="en-IN" sz="1100" b="1" baseline="0">
                  <a:solidFill>
                    <a:srgbClr val="00695C"/>
                  </a:solidFill>
                </a:rPr>
                <a:t> SALES</a:t>
              </a:r>
              <a:endParaRPr lang="en-IN" sz="1100" b="1">
                <a:solidFill>
                  <a:srgbClr val="00695C"/>
                </a:solidFill>
              </a:endParaRPr>
            </a:p>
          </xdr:txBody>
        </xdr:sp>
        <xdr:sp macro="" textlink="SalesData!J2">
          <xdr:nvSpPr>
            <xdr:cNvPr id="7" name="TextBox 6">
              <a:extLst>
                <a:ext uri="{FF2B5EF4-FFF2-40B4-BE49-F238E27FC236}">
                  <a16:creationId xmlns:a16="http://schemas.microsoft.com/office/drawing/2014/main" id="{C398229D-9F14-CF10-C4DB-4C7487FF00A8}"/>
                </a:ext>
              </a:extLst>
            </xdr:cNvPr>
            <xdr:cNvSpPr txBox="1">
              <a:spLocks noChangeAspect="1"/>
            </xdr:cNvSpPr>
          </xdr:nvSpPr>
          <xdr:spPr>
            <a:xfrm>
              <a:off x="1487311" y="1695450"/>
              <a:ext cx="1179689" cy="241300"/>
            </a:xfrm>
            <a:prstGeom prst="rect">
              <a:avLst/>
            </a:prstGeom>
            <a:solidFill>
              <a:schemeClr val="bg1"/>
            </a:solidFill>
            <a:ln w="9525" cmpd="sng">
              <a:solidFill>
                <a:schemeClr val="bg1"/>
              </a:solid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9317AE76-10DE-4F1E-9B4A-A838FF9172E4}" type="TxLink">
                <a:rPr lang="en-US" sz="1100" b="1" i="0" u="none" strike="noStrike">
                  <a:solidFill>
                    <a:srgbClr val="00695C"/>
                  </a:solidFill>
                  <a:latin typeface="Aptos Narrow"/>
                  <a:ea typeface="+mn-ea"/>
                  <a:cs typeface="+mn-cs"/>
                </a:rPr>
                <a:pPr marL="0" indent="0" algn="ctr"/>
                <a:t> Rs. 1,29,44,500 </a:t>
              </a:fld>
              <a:endParaRPr lang="en-IN" sz="1100" b="1" i="0" u="none" strike="noStrike">
                <a:solidFill>
                  <a:srgbClr val="00695C"/>
                </a:solidFill>
                <a:latin typeface="Aptos Narrow"/>
                <a:ea typeface="+mn-ea"/>
                <a:cs typeface="+mn-cs"/>
              </a:endParaRPr>
            </a:p>
          </xdr:txBody>
        </xdr:sp>
      </xdr:grpSp>
    </xdr:grpSp>
    <xdr:clientData/>
  </xdr:twoCellAnchor>
  <xdr:twoCellAnchor>
    <xdr:from>
      <xdr:col>3</xdr:col>
      <xdr:colOff>483088</xdr:colOff>
      <xdr:row>6</xdr:row>
      <xdr:rowOff>12707</xdr:rowOff>
    </xdr:from>
    <xdr:to>
      <xdr:col>7</xdr:col>
      <xdr:colOff>194746</xdr:colOff>
      <xdr:row>10</xdr:row>
      <xdr:rowOff>92498</xdr:rowOff>
    </xdr:to>
    <xdr:sp macro="" textlink="">
      <xdr:nvSpPr>
        <xdr:cNvPr id="9" name="Rectangle: Rounded Corners 8">
          <a:extLst>
            <a:ext uri="{FF2B5EF4-FFF2-40B4-BE49-F238E27FC236}">
              <a16:creationId xmlns:a16="http://schemas.microsoft.com/office/drawing/2014/main" id="{F913B8F5-5910-4A31-C49F-B79D34102BB3}"/>
            </a:ext>
          </a:extLst>
        </xdr:cNvPr>
        <xdr:cNvSpPr/>
      </xdr:nvSpPr>
      <xdr:spPr>
        <a:xfrm>
          <a:off x="2314819" y="1126399"/>
          <a:ext cx="2153965" cy="822253"/>
        </a:xfrm>
        <a:prstGeom prst="roundRect">
          <a:avLst/>
        </a:prstGeom>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3</xdr:col>
      <xdr:colOff>543432</xdr:colOff>
      <xdr:row>6</xdr:row>
      <xdr:rowOff>52110</xdr:rowOff>
    </xdr:from>
    <xdr:to>
      <xdr:col>7</xdr:col>
      <xdr:colOff>97955</xdr:colOff>
      <xdr:row>10</xdr:row>
      <xdr:rowOff>66542</xdr:rowOff>
    </xdr:to>
    <xdr:grpSp>
      <xdr:nvGrpSpPr>
        <xdr:cNvPr id="10" name="Group 9">
          <a:extLst>
            <a:ext uri="{FF2B5EF4-FFF2-40B4-BE49-F238E27FC236}">
              <a16:creationId xmlns:a16="http://schemas.microsoft.com/office/drawing/2014/main" id="{CA2F7830-214E-D504-2A61-C553189B90E2}"/>
            </a:ext>
          </a:extLst>
        </xdr:cNvPr>
        <xdr:cNvGrpSpPr/>
      </xdr:nvGrpSpPr>
      <xdr:grpSpPr>
        <a:xfrm>
          <a:off x="2379159" y="1160474"/>
          <a:ext cx="2002160" cy="753341"/>
          <a:chOff x="673100" y="1306367"/>
          <a:chExt cx="1993900" cy="751032"/>
        </a:xfrm>
      </xdr:grpSpPr>
      <xdr:sp macro="" textlink="">
        <xdr:nvSpPr>
          <xdr:cNvPr id="11" name="Rectangle: Rounded Corners 10">
            <a:extLst>
              <a:ext uri="{FF2B5EF4-FFF2-40B4-BE49-F238E27FC236}">
                <a16:creationId xmlns:a16="http://schemas.microsoft.com/office/drawing/2014/main" id="{10FA4532-0B74-7455-6AAD-071B261E32CE}"/>
              </a:ext>
            </a:extLst>
          </xdr:cNvPr>
          <xdr:cNvSpPr/>
        </xdr:nvSpPr>
        <xdr:spPr>
          <a:xfrm>
            <a:off x="673100" y="1306367"/>
            <a:ext cx="696191" cy="751032"/>
          </a:xfrm>
          <a:prstGeom prst="roundRect">
            <a:avLst>
              <a:gd name="adj" fmla="val 14592"/>
            </a:avLst>
          </a:prstGeom>
          <a:solidFill>
            <a:srgbClr val="009688"/>
          </a:soli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sp macro="" textlink="">
        <xdr:nvSpPr>
          <xdr:cNvPr id="12" name="TextBox 11">
            <a:extLst>
              <a:ext uri="{FF2B5EF4-FFF2-40B4-BE49-F238E27FC236}">
                <a16:creationId xmlns:a16="http://schemas.microsoft.com/office/drawing/2014/main" id="{EFB9E7BC-3C14-A906-322F-875A495A5710}"/>
              </a:ext>
            </a:extLst>
          </xdr:cNvPr>
          <xdr:cNvSpPr txBox="1"/>
        </xdr:nvSpPr>
        <xdr:spPr>
          <a:xfrm>
            <a:off x="1605973" y="1392959"/>
            <a:ext cx="953654" cy="184150"/>
          </a:xfrm>
          <a:prstGeom prst="rect">
            <a:avLst/>
          </a:prstGeom>
          <a:solidFill>
            <a:schemeClr val="lt1"/>
          </a:solidFill>
          <a:ln w="9525" cmpd="sng">
            <a:solidFill>
              <a:schemeClr val="lt1">
                <a:shade val="50000"/>
              </a:schemeClr>
            </a:solidFill>
          </a:ln>
          <a:effectLst>
            <a:outerShdw blurRad="25400" dist="38100" dir="2700000" algn="tl" rotWithShape="0">
              <a:prstClr val="black">
                <a:alpha val="40000"/>
              </a:prstClr>
            </a:outerShdw>
            <a:softEdge rad="0"/>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900" b="1">
                <a:solidFill>
                  <a:srgbClr val="00695C"/>
                </a:solidFill>
              </a:rPr>
              <a:t>AVERGAE</a:t>
            </a:r>
            <a:r>
              <a:rPr lang="en-IN" sz="900" b="1" baseline="0">
                <a:solidFill>
                  <a:srgbClr val="00695C"/>
                </a:solidFill>
              </a:rPr>
              <a:t> SALES</a:t>
            </a:r>
            <a:endParaRPr lang="en-IN" sz="900" b="1">
              <a:solidFill>
                <a:srgbClr val="00695C"/>
              </a:solidFill>
            </a:endParaRPr>
          </a:p>
        </xdr:txBody>
      </xdr:sp>
      <xdr:sp macro="" textlink="SalesData!J8">
        <xdr:nvSpPr>
          <xdr:cNvPr id="13" name="TextBox 12">
            <a:extLst>
              <a:ext uri="{FF2B5EF4-FFF2-40B4-BE49-F238E27FC236}">
                <a16:creationId xmlns:a16="http://schemas.microsoft.com/office/drawing/2014/main" id="{306B7A4C-B764-F5ED-8FBD-3119A8371548}"/>
              </a:ext>
            </a:extLst>
          </xdr:cNvPr>
          <xdr:cNvSpPr txBox="1">
            <a:spLocks noChangeAspect="1"/>
          </xdr:cNvSpPr>
        </xdr:nvSpPr>
        <xdr:spPr>
          <a:xfrm>
            <a:off x="1487311" y="1695450"/>
            <a:ext cx="1179689" cy="241300"/>
          </a:xfrm>
          <a:prstGeom prst="rect">
            <a:avLst/>
          </a:prstGeom>
          <a:solidFill>
            <a:schemeClr val="bg1"/>
          </a:solidFill>
          <a:ln w="9525" cmpd="sng">
            <a:solidFill>
              <a:schemeClr val="bg1"/>
            </a:solid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2B8B2278-719B-402E-80D0-17B020E6A731}" type="TxLink">
              <a:rPr lang="en-US" sz="1100" b="1" i="0" u="none" strike="noStrike">
                <a:solidFill>
                  <a:srgbClr val="00695C"/>
                </a:solidFill>
                <a:latin typeface="Aptos Narrow"/>
                <a:ea typeface="+mn-ea"/>
                <a:cs typeface="+mn-cs"/>
              </a:rPr>
              <a:pPr marL="0" indent="0" algn="ctr"/>
              <a:t> Rs. 2,58,890 </a:t>
            </a:fld>
            <a:endParaRPr lang="en-IN" sz="1100" b="1" i="0" u="none" strike="noStrike">
              <a:solidFill>
                <a:srgbClr val="00695C"/>
              </a:solidFill>
              <a:latin typeface="Aptos Narrow"/>
              <a:ea typeface="+mn-ea"/>
              <a:cs typeface="+mn-cs"/>
            </a:endParaRPr>
          </a:p>
        </xdr:txBody>
      </xdr:sp>
    </xdr:grpSp>
    <xdr:clientData/>
  </xdr:twoCellAnchor>
  <xdr:twoCellAnchor>
    <xdr:from>
      <xdr:col>7</xdr:col>
      <xdr:colOff>293567</xdr:colOff>
      <xdr:row>6</xdr:row>
      <xdr:rowOff>20834</xdr:rowOff>
    </xdr:from>
    <xdr:to>
      <xdr:col>11</xdr:col>
      <xdr:colOff>5225</xdr:colOff>
      <xdr:row>10</xdr:row>
      <xdr:rowOff>100625</xdr:rowOff>
    </xdr:to>
    <xdr:sp macro="" textlink="">
      <xdr:nvSpPr>
        <xdr:cNvPr id="14" name="Rectangle: Rounded Corners 13">
          <a:extLst>
            <a:ext uri="{FF2B5EF4-FFF2-40B4-BE49-F238E27FC236}">
              <a16:creationId xmlns:a16="http://schemas.microsoft.com/office/drawing/2014/main" id="{464D7C8B-83A2-807E-80A1-299AC15DBB60}"/>
            </a:ext>
          </a:extLst>
        </xdr:cNvPr>
        <xdr:cNvSpPr/>
      </xdr:nvSpPr>
      <xdr:spPr>
        <a:xfrm>
          <a:off x="4567605" y="1134526"/>
          <a:ext cx="2153966" cy="822253"/>
        </a:xfrm>
        <a:prstGeom prst="roundRect">
          <a:avLst/>
        </a:prstGeom>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7</xdr:col>
      <xdr:colOff>349018</xdr:colOff>
      <xdr:row>6</xdr:row>
      <xdr:rowOff>55356</xdr:rowOff>
    </xdr:from>
    <xdr:to>
      <xdr:col>10</xdr:col>
      <xdr:colOff>514118</xdr:colOff>
      <xdr:row>10</xdr:row>
      <xdr:rowOff>69788</xdr:rowOff>
    </xdr:to>
    <xdr:grpSp>
      <xdr:nvGrpSpPr>
        <xdr:cNvPr id="15" name="Group 14">
          <a:extLst>
            <a:ext uri="{FF2B5EF4-FFF2-40B4-BE49-F238E27FC236}">
              <a16:creationId xmlns:a16="http://schemas.microsoft.com/office/drawing/2014/main" id="{E50F66A0-F34E-7632-1D6A-D68104A46FB5}"/>
            </a:ext>
          </a:extLst>
        </xdr:cNvPr>
        <xdr:cNvGrpSpPr/>
      </xdr:nvGrpSpPr>
      <xdr:grpSpPr>
        <a:xfrm>
          <a:off x="4632382" y="1163720"/>
          <a:ext cx="2000827" cy="753341"/>
          <a:chOff x="673100" y="1306367"/>
          <a:chExt cx="1993900" cy="751032"/>
        </a:xfrm>
      </xdr:grpSpPr>
      <xdr:sp macro="" textlink="">
        <xdr:nvSpPr>
          <xdr:cNvPr id="16" name="Rectangle: Rounded Corners 15">
            <a:extLst>
              <a:ext uri="{FF2B5EF4-FFF2-40B4-BE49-F238E27FC236}">
                <a16:creationId xmlns:a16="http://schemas.microsoft.com/office/drawing/2014/main" id="{1DDD79B4-ED27-86D2-4010-D03B63AD76CC}"/>
              </a:ext>
            </a:extLst>
          </xdr:cNvPr>
          <xdr:cNvSpPr/>
        </xdr:nvSpPr>
        <xdr:spPr>
          <a:xfrm>
            <a:off x="673100" y="1306367"/>
            <a:ext cx="696191" cy="751032"/>
          </a:xfrm>
          <a:prstGeom prst="roundRect">
            <a:avLst>
              <a:gd name="adj" fmla="val 14592"/>
            </a:avLst>
          </a:prstGeom>
          <a:solidFill>
            <a:srgbClr val="009688"/>
          </a:soli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sp macro="" textlink="">
        <xdr:nvSpPr>
          <xdr:cNvPr id="17" name="TextBox 16">
            <a:extLst>
              <a:ext uri="{FF2B5EF4-FFF2-40B4-BE49-F238E27FC236}">
                <a16:creationId xmlns:a16="http://schemas.microsoft.com/office/drawing/2014/main" id="{AD7E96DE-C8C1-1526-8C8E-D51A9217EF56}"/>
              </a:ext>
            </a:extLst>
          </xdr:cNvPr>
          <xdr:cNvSpPr txBox="1"/>
        </xdr:nvSpPr>
        <xdr:spPr>
          <a:xfrm>
            <a:off x="1605973" y="1392959"/>
            <a:ext cx="953654" cy="184150"/>
          </a:xfrm>
          <a:prstGeom prst="rect">
            <a:avLst/>
          </a:prstGeom>
          <a:solidFill>
            <a:schemeClr val="lt1"/>
          </a:solidFill>
          <a:ln w="9525" cmpd="sng">
            <a:solidFill>
              <a:schemeClr val="lt1">
                <a:shade val="50000"/>
              </a:schemeClr>
            </a:solidFill>
          </a:ln>
          <a:effectLst>
            <a:outerShdw blurRad="25400" dist="38100" dir="2700000" algn="tl" rotWithShape="0">
              <a:prstClr val="black">
                <a:alpha val="40000"/>
              </a:prstClr>
            </a:outerShdw>
            <a:softEdge rad="0"/>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1">
                <a:solidFill>
                  <a:srgbClr val="00695C"/>
                </a:solidFill>
              </a:rPr>
              <a:t>UNIT</a:t>
            </a:r>
            <a:r>
              <a:rPr lang="en-IN" sz="1100" b="1" baseline="0">
                <a:solidFill>
                  <a:srgbClr val="00695C"/>
                </a:solidFill>
              </a:rPr>
              <a:t> SOLD </a:t>
            </a:r>
            <a:endParaRPr lang="en-IN" sz="1100" b="1">
              <a:solidFill>
                <a:srgbClr val="00695C"/>
              </a:solidFill>
            </a:endParaRPr>
          </a:p>
        </xdr:txBody>
      </xdr:sp>
      <xdr:sp macro="" textlink="SalesData!J4">
        <xdr:nvSpPr>
          <xdr:cNvPr id="18" name="TextBox 17">
            <a:extLst>
              <a:ext uri="{FF2B5EF4-FFF2-40B4-BE49-F238E27FC236}">
                <a16:creationId xmlns:a16="http://schemas.microsoft.com/office/drawing/2014/main" id="{6E5AA574-BA17-1BE1-2150-1678891AE100}"/>
              </a:ext>
            </a:extLst>
          </xdr:cNvPr>
          <xdr:cNvSpPr txBox="1">
            <a:spLocks noChangeAspect="1"/>
          </xdr:cNvSpPr>
        </xdr:nvSpPr>
        <xdr:spPr>
          <a:xfrm>
            <a:off x="1487311" y="1695450"/>
            <a:ext cx="1179689" cy="241300"/>
          </a:xfrm>
          <a:prstGeom prst="rect">
            <a:avLst/>
          </a:prstGeom>
          <a:solidFill>
            <a:schemeClr val="bg1"/>
          </a:solidFill>
          <a:ln w="9525" cmpd="sng">
            <a:solidFill>
              <a:schemeClr val="bg1"/>
            </a:solid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7013CFC4-1BDE-4FCC-9073-F9BF93A15518}" type="TxLink">
              <a:rPr lang="en-US" sz="1100" b="1" i="0" u="none" strike="noStrike">
                <a:solidFill>
                  <a:srgbClr val="00695C"/>
                </a:solidFill>
                <a:latin typeface="Aptos Narrow"/>
                <a:ea typeface="+mn-ea"/>
                <a:cs typeface="+mn-cs"/>
              </a:rPr>
              <a:pPr marL="0" indent="0" algn="ctr"/>
              <a:t>4705</a:t>
            </a:fld>
            <a:endParaRPr lang="en-IN" sz="1100" b="1" i="0" u="none" strike="noStrike">
              <a:solidFill>
                <a:srgbClr val="00695C"/>
              </a:solidFill>
              <a:latin typeface="Aptos Narrow"/>
              <a:ea typeface="+mn-ea"/>
              <a:cs typeface="+mn-cs"/>
            </a:endParaRPr>
          </a:p>
        </xdr:txBody>
      </xdr:sp>
    </xdr:grpSp>
    <xdr:clientData/>
  </xdr:twoCellAnchor>
  <xdr:twoCellAnchor>
    <xdr:from>
      <xdr:col>11</xdr:col>
      <xdr:colOff>114793</xdr:colOff>
      <xdr:row>6</xdr:row>
      <xdr:rowOff>23644</xdr:rowOff>
    </xdr:from>
    <xdr:to>
      <xdr:col>14</xdr:col>
      <xdr:colOff>440017</xdr:colOff>
      <xdr:row>10</xdr:row>
      <xdr:rowOff>104585</xdr:rowOff>
    </xdr:to>
    <xdr:sp macro="" textlink="">
      <xdr:nvSpPr>
        <xdr:cNvPr id="19" name="Rectangle: Rounded Corners 18">
          <a:extLst>
            <a:ext uri="{FF2B5EF4-FFF2-40B4-BE49-F238E27FC236}">
              <a16:creationId xmlns:a16="http://schemas.microsoft.com/office/drawing/2014/main" id="{63B17615-B491-9FDE-F9FB-D92BECB201DB}"/>
            </a:ext>
          </a:extLst>
        </xdr:cNvPr>
        <xdr:cNvSpPr/>
      </xdr:nvSpPr>
      <xdr:spPr>
        <a:xfrm>
          <a:off x="6853264" y="1144232"/>
          <a:ext cx="2162988" cy="828000"/>
        </a:xfrm>
        <a:prstGeom prst="roundRect">
          <a:avLst/>
        </a:prstGeom>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11</xdr:col>
      <xdr:colOff>208169</xdr:colOff>
      <xdr:row>6</xdr:row>
      <xdr:rowOff>53286</xdr:rowOff>
    </xdr:from>
    <xdr:to>
      <xdr:col>14</xdr:col>
      <xdr:colOff>376258</xdr:colOff>
      <xdr:row>10</xdr:row>
      <xdr:rowOff>67718</xdr:rowOff>
    </xdr:to>
    <xdr:grpSp>
      <xdr:nvGrpSpPr>
        <xdr:cNvPr id="20" name="Group 19">
          <a:extLst>
            <a:ext uri="{FF2B5EF4-FFF2-40B4-BE49-F238E27FC236}">
              <a16:creationId xmlns:a16="http://schemas.microsoft.com/office/drawing/2014/main" id="{36310660-EE41-2052-E5E9-F63F6BB9E540}"/>
            </a:ext>
          </a:extLst>
        </xdr:cNvPr>
        <xdr:cNvGrpSpPr/>
      </xdr:nvGrpSpPr>
      <xdr:grpSpPr>
        <a:xfrm>
          <a:off x="6939169" y="1161650"/>
          <a:ext cx="2003816" cy="753341"/>
          <a:chOff x="673100" y="1306367"/>
          <a:chExt cx="1993900" cy="751032"/>
        </a:xfrm>
      </xdr:grpSpPr>
      <xdr:sp macro="" textlink="">
        <xdr:nvSpPr>
          <xdr:cNvPr id="21" name="Rectangle: Rounded Corners 20">
            <a:extLst>
              <a:ext uri="{FF2B5EF4-FFF2-40B4-BE49-F238E27FC236}">
                <a16:creationId xmlns:a16="http://schemas.microsoft.com/office/drawing/2014/main" id="{E3CDE4C5-86A7-172E-140C-1BAA2114EB5A}"/>
              </a:ext>
            </a:extLst>
          </xdr:cNvPr>
          <xdr:cNvSpPr/>
        </xdr:nvSpPr>
        <xdr:spPr>
          <a:xfrm>
            <a:off x="673100" y="1306367"/>
            <a:ext cx="696191" cy="751032"/>
          </a:xfrm>
          <a:prstGeom prst="roundRect">
            <a:avLst>
              <a:gd name="adj" fmla="val 14592"/>
            </a:avLst>
          </a:prstGeom>
          <a:solidFill>
            <a:srgbClr val="009688"/>
          </a:soli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sp macro="" textlink="">
        <xdr:nvSpPr>
          <xdr:cNvPr id="22" name="TextBox 21">
            <a:extLst>
              <a:ext uri="{FF2B5EF4-FFF2-40B4-BE49-F238E27FC236}">
                <a16:creationId xmlns:a16="http://schemas.microsoft.com/office/drawing/2014/main" id="{86C7E77D-C9AF-5D9B-4B73-1407BDC1DC1B}"/>
              </a:ext>
            </a:extLst>
          </xdr:cNvPr>
          <xdr:cNvSpPr txBox="1"/>
        </xdr:nvSpPr>
        <xdr:spPr>
          <a:xfrm>
            <a:off x="1605973" y="1392959"/>
            <a:ext cx="953654" cy="184150"/>
          </a:xfrm>
          <a:prstGeom prst="rect">
            <a:avLst/>
          </a:prstGeom>
          <a:solidFill>
            <a:schemeClr val="lt1"/>
          </a:solidFill>
          <a:ln w="9525" cmpd="sng">
            <a:solidFill>
              <a:schemeClr val="lt1">
                <a:shade val="50000"/>
              </a:schemeClr>
            </a:solidFill>
          </a:ln>
          <a:effectLst>
            <a:outerShdw blurRad="25400" dist="38100" dir="2700000" algn="tl" rotWithShape="0">
              <a:prstClr val="black">
                <a:alpha val="40000"/>
              </a:prstClr>
            </a:outerShdw>
            <a:softEdge rad="0"/>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1">
                <a:solidFill>
                  <a:srgbClr val="00695C"/>
                </a:solidFill>
              </a:rPr>
              <a:t>PROFIT</a:t>
            </a:r>
          </a:p>
        </xdr:txBody>
      </xdr:sp>
      <xdr:sp macro="" textlink="SalesData!J6">
        <xdr:nvSpPr>
          <xdr:cNvPr id="23" name="TextBox 22">
            <a:extLst>
              <a:ext uri="{FF2B5EF4-FFF2-40B4-BE49-F238E27FC236}">
                <a16:creationId xmlns:a16="http://schemas.microsoft.com/office/drawing/2014/main" id="{4BA181EF-D6C6-B532-A690-B4C2185E9D34}"/>
              </a:ext>
            </a:extLst>
          </xdr:cNvPr>
          <xdr:cNvSpPr txBox="1">
            <a:spLocks noChangeAspect="1"/>
          </xdr:cNvSpPr>
        </xdr:nvSpPr>
        <xdr:spPr>
          <a:xfrm>
            <a:off x="1487311" y="1695450"/>
            <a:ext cx="1179689" cy="241300"/>
          </a:xfrm>
          <a:prstGeom prst="rect">
            <a:avLst/>
          </a:prstGeom>
          <a:solidFill>
            <a:schemeClr val="bg1"/>
          </a:solidFill>
          <a:ln w="9525" cmpd="sng">
            <a:solidFill>
              <a:schemeClr val="bg1"/>
            </a:solid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292EC1A6-9FEA-4426-B50A-6A80FF38F5FD}" type="TxLink">
              <a:rPr lang="en-US" sz="1100" b="1" i="0" u="none" strike="noStrike">
                <a:solidFill>
                  <a:srgbClr val="00695C"/>
                </a:solidFill>
                <a:latin typeface="Aptos Narrow"/>
                <a:ea typeface="+mn-ea"/>
                <a:cs typeface="+mn-cs"/>
              </a:rPr>
              <a:pPr marL="0" indent="0" algn="ctr"/>
              <a:t> Rs. 38,34,400 </a:t>
            </a:fld>
            <a:endParaRPr lang="en-IN" sz="1100" b="1" i="0" u="none" strike="noStrike">
              <a:solidFill>
                <a:srgbClr val="00695C"/>
              </a:solidFill>
              <a:latin typeface="Aptos Narrow"/>
              <a:ea typeface="+mn-ea"/>
              <a:cs typeface="+mn-cs"/>
            </a:endParaRPr>
          </a:p>
        </xdr:txBody>
      </xdr:sp>
    </xdr:grpSp>
    <xdr:clientData/>
  </xdr:twoCellAnchor>
  <xdr:twoCellAnchor editAs="oneCell">
    <xdr:from>
      <xdr:col>11</xdr:col>
      <xdr:colOff>227106</xdr:colOff>
      <xdr:row>6</xdr:row>
      <xdr:rowOff>103468</xdr:rowOff>
    </xdr:from>
    <xdr:to>
      <xdr:col>12</xdr:col>
      <xdr:colOff>290606</xdr:colOff>
      <xdr:row>10</xdr:row>
      <xdr:rowOff>37353</xdr:rowOff>
    </xdr:to>
    <xdr:pic>
      <xdr:nvPicPr>
        <xdr:cNvPr id="25" name="Graphic 24" descr="Bar graph with upward trend with solid fill">
          <a:extLst>
            <a:ext uri="{FF2B5EF4-FFF2-40B4-BE49-F238E27FC236}">
              <a16:creationId xmlns:a16="http://schemas.microsoft.com/office/drawing/2014/main" id="{796E3E75-3FE2-7FC0-7095-2B17A54823A9}"/>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965577" y="1224056"/>
          <a:ext cx="676088" cy="680944"/>
        </a:xfrm>
        <a:prstGeom prst="rect">
          <a:avLst/>
        </a:prstGeom>
      </xdr:spPr>
    </xdr:pic>
    <xdr:clientData/>
  </xdr:twoCellAnchor>
  <xdr:twoCellAnchor editAs="oneCell">
    <xdr:from>
      <xdr:col>0</xdr:col>
      <xdr:colOff>102663</xdr:colOff>
      <xdr:row>6</xdr:row>
      <xdr:rowOff>64561</xdr:rowOff>
    </xdr:from>
    <xdr:to>
      <xdr:col>1</xdr:col>
      <xdr:colOff>170963</xdr:colOff>
      <xdr:row>10</xdr:row>
      <xdr:rowOff>4395</xdr:rowOff>
    </xdr:to>
    <xdr:pic>
      <xdr:nvPicPr>
        <xdr:cNvPr id="27" name="Graphic 26" descr="Coins with solid fill">
          <a:extLst>
            <a:ext uri="{FF2B5EF4-FFF2-40B4-BE49-F238E27FC236}">
              <a16:creationId xmlns:a16="http://schemas.microsoft.com/office/drawing/2014/main" id="{6BB24D72-4D33-3940-C6B4-1A44695AAC7B}"/>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02663" y="1178253"/>
          <a:ext cx="678877" cy="682296"/>
        </a:xfrm>
        <a:prstGeom prst="rect">
          <a:avLst/>
        </a:prstGeom>
      </xdr:spPr>
    </xdr:pic>
    <xdr:clientData/>
  </xdr:twoCellAnchor>
  <xdr:twoCellAnchor editAs="oneCell">
    <xdr:from>
      <xdr:col>3</xdr:col>
      <xdr:colOff>557101</xdr:colOff>
      <xdr:row>6</xdr:row>
      <xdr:rowOff>99816</xdr:rowOff>
    </xdr:from>
    <xdr:to>
      <xdr:col>5</xdr:col>
      <xdr:colOff>5374</xdr:colOff>
      <xdr:row>10</xdr:row>
      <xdr:rowOff>30200</xdr:rowOff>
    </xdr:to>
    <xdr:pic>
      <xdr:nvPicPr>
        <xdr:cNvPr id="29" name="Graphic 28" descr="List with solid fill">
          <a:extLst>
            <a:ext uri="{FF2B5EF4-FFF2-40B4-BE49-F238E27FC236}">
              <a16:creationId xmlns:a16="http://schemas.microsoft.com/office/drawing/2014/main" id="{555F85F3-39B5-8037-28FD-637CF69F5B5B}"/>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2388832" y="1213508"/>
          <a:ext cx="669427" cy="672846"/>
        </a:xfrm>
        <a:prstGeom prst="rect">
          <a:avLst/>
        </a:prstGeom>
      </xdr:spPr>
    </xdr:pic>
    <xdr:clientData/>
  </xdr:twoCellAnchor>
  <xdr:twoCellAnchor editAs="oneCell">
    <xdr:from>
      <xdr:col>7</xdr:col>
      <xdr:colOff>399816</xdr:colOff>
      <xdr:row>6</xdr:row>
      <xdr:rowOff>68639</xdr:rowOff>
    </xdr:from>
    <xdr:to>
      <xdr:col>8</xdr:col>
      <xdr:colOff>477716</xdr:colOff>
      <xdr:row>10</xdr:row>
      <xdr:rowOff>19539</xdr:rowOff>
    </xdr:to>
    <xdr:pic>
      <xdr:nvPicPr>
        <xdr:cNvPr id="31" name="Graphic 30" descr="Presentation with bar chart with solid fill">
          <a:extLst>
            <a:ext uri="{FF2B5EF4-FFF2-40B4-BE49-F238E27FC236}">
              <a16:creationId xmlns:a16="http://schemas.microsoft.com/office/drawing/2014/main" id="{AC8E433D-36BD-992C-834B-4854FDAF5795}"/>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4673854" y="1182331"/>
          <a:ext cx="688477" cy="693362"/>
        </a:xfrm>
        <a:prstGeom prst="rect">
          <a:avLst/>
        </a:prstGeom>
      </xdr:spPr>
    </xdr:pic>
    <xdr:clientData/>
  </xdr:twoCellAnchor>
  <xdr:twoCellAnchor>
    <xdr:from>
      <xdr:col>1</xdr:col>
      <xdr:colOff>9071</xdr:colOff>
      <xdr:row>1</xdr:row>
      <xdr:rowOff>27214</xdr:rowOff>
    </xdr:from>
    <xdr:to>
      <xdr:col>17</xdr:col>
      <xdr:colOff>580572</xdr:colOff>
      <xdr:row>5</xdr:row>
      <xdr:rowOff>27214</xdr:rowOff>
    </xdr:to>
    <xdr:sp macro="" textlink="">
      <xdr:nvSpPr>
        <xdr:cNvPr id="32" name="TextBox 31">
          <a:extLst>
            <a:ext uri="{FF2B5EF4-FFF2-40B4-BE49-F238E27FC236}">
              <a16:creationId xmlns:a16="http://schemas.microsoft.com/office/drawing/2014/main" id="{9D73317D-54EA-9812-9990-0C6386AE1411}"/>
            </a:ext>
          </a:extLst>
        </xdr:cNvPr>
        <xdr:cNvSpPr txBox="1"/>
      </xdr:nvSpPr>
      <xdr:spPr>
        <a:xfrm>
          <a:off x="616857" y="208643"/>
          <a:ext cx="10296072" cy="725714"/>
        </a:xfrm>
        <a:custGeom>
          <a:avLst/>
          <a:gdLst>
            <a:gd name="connsiteX0" fmla="*/ 0 w 10296072"/>
            <a:gd name="connsiteY0" fmla="*/ 0 h 725714"/>
            <a:gd name="connsiteX1" fmla="*/ 10296072 w 10296072"/>
            <a:gd name="connsiteY1" fmla="*/ 0 h 725714"/>
            <a:gd name="connsiteX2" fmla="*/ 10296072 w 10296072"/>
            <a:gd name="connsiteY2" fmla="*/ 725714 h 725714"/>
            <a:gd name="connsiteX3" fmla="*/ 0 w 10296072"/>
            <a:gd name="connsiteY3" fmla="*/ 725714 h 725714"/>
            <a:gd name="connsiteX4" fmla="*/ 0 w 10296072"/>
            <a:gd name="connsiteY4" fmla="*/ 0 h 725714"/>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10296072" h="725714" fill="none" extrusionOk="0">
              <a:moveTo>
                <a:pt x="0" y="0"/>
              </a:moveTo>
              <a:cubicBezTo>
                <a:pt x="3096239" y="-49533"/>
                <a:pt x="8888995" y="-14809"/>
                <a:pt x="10296072" y="0"/>
              </a:cubicBezTo>
              <a:cubicBezTo>
                <a:pt x="10345600" y="229217"/>
                <a:pt x="10310801" y="581484"/>
                <a:pt x="10296072" y="725714"/>
              </a:cubicBezTo>
              <a:cubicBezTo>
                <a:pt x="8370598" y="677483"/>
                <a:pt x="2731842" y="810169"/>
                <a:pt x="0" y="725714"/>
              </a:cubicBezTo>
              <a:cubicBezTo>
                <a:pt x="35467" y="587727"/>
                <a:pt x="59649" y="319348"/>
                <a:pt x="0" y="0"/>
              </a:cubicBezTo>
              <a:close/>
            </a:path>
            <a:path w="10296072" h="725714" stroke="0" extrusionOk="0">
              <a:moveTo>
                <a:pt x="0" y="0"/>
              </a:moveTo>
              <a:cubicBezTo>
                <a:pt x="4136738" y="118645"/>
                <a:pt x="5500925" y="116012"/>
                <a:pt x="10296072" y="0"/>
              </a:cubicBezTo>
              <a:cubicBezTo>
                <a:pt x="10232459" y="83084"/>
                <a:pt x="10258393" y="526348"/>
                <a:pt x="10296072" y="725714"/>
              </a:cubicBezTo>
              <a:cubicBezTo>
                <a:pt x="5388203" y="860314"/>
                <a:pt x="3773770" y="568518"/>
                <a:pt x="0" y="725714"/>
              </a:cubicBezTo>
              <a:cubicBezTo>
                <a:pt x="43589" y="437379"/>
                <a:pt x="58436" y="104432"/>
                <a:pt x="0" y="0"/>
              </a:cubicBezTo>
              <a:close/>
            </a:path>
          </a:pathLst>
        </a:custGeom>
        <a:solidFill>
          <a:schemeClr val="lt1"/>
        </a:solidFill>
        <a:ln w="9525" cmpd="dbl">
          <a:solidFill>
            <a:schemeClr val="lt1">
              <a:shade val="50000"/>
            </a:schemeClr>
          </a:solidFill>
          <a:extLst>
            <a:ext uri="{C807C97D-BFC1-408E-A445-0C87EB9F89A2}">
              <ask:lineSketchStyleProps xmlns:ask="http://schemas.microsoft.com/office/drawing/2018/sketchyshapes" sd="1219033472">
                <a:prstGeom prst="rect">
                  <a:avLst/>
                </a:prstGeom>
                <ask:type>
                  <ask:lineSketchCurved/>
                </ask:type>
              </ask:lineSketchStyleProps>
            </a:ext>
          </a:extLst>
        </a:ln>
        <a:effectLst>
          <a:innerShdw blurRad="63500" dist="50800" dir="10800000">
            <a:schemeClr val="accent1">
              <a:alpha val="50000"/>
            </a:schemeClr>
          </a:inn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5800" b="1">
              <a:solidFill>
                <a:srgbClr val="00695C"/>
              </a:solidFill>
            </a:rPr>
            <a:t>Sales Dashboard-2025</a:t>
          </a:r>
        </a:p>
      </xdr:txBody>
    </xdr:sp>
    <xdr:clientData/>
  </xdr:twoCellAnchor>
  <xdr:oneCellAnchor>
    <xdr:from>
      <xdr:col>7</xdr:col>
      <xdr:colOff>577850</xdr:colOff>
      <xdr:row>16</xdr:row>
      <xdr:rowOff>88900</xdr:rowOff>
    </xdr:from>
    <xdr:ext cx="184731" cy="264560"/>
    <xdr:sp macro="" textlink="">
      <xdr:nvSpPr>
        <xdr:cNvPr id="33" name="TextBox 32">
          <a:extLst>
            <a:ext uri="{FF2B5EF4-FFF2-40B4-BE49-F238E27FC236}">
              <a16:creationId xmlns:a16="http://schemas.microsoft.com/office/drawing/2014/main" id="{A50EDABE-C4DB-573A-3B5D-4386308669F9}"/>
            </a:ext>
          </a:extLst>
        </xdr:cNvPr>
        <xdr:cNvSpPr txBox="1"/>
      </xdr:nvSpPr>
      <xdr:spPr>
        <a:xfrm>
          <a:off x="4845050" y="3035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twoCellAnchor editAs="oneCell">
    <xdr:from>
      <xdr:col>14</xdr:col>
      <xdr:colOff>544289</xdr:colOff>
      <xdr:row>6</xdr:row>
      <xdr:rowOff>65635</xdr:rowOff>
    </xdr:from>
    <xdr:to>
      <xdr:col>18</xdr:col>
      <xdr:colOff>508004</xdr:colOff>
      <xdr:row>10</xdr:row>
      <xdr:rowOff>101920</xdr:rowOff>
    </xdr:to>
    <mc:AlternateContent xmlns:mc="http://schemas.openxmlformats.org/markup-compatibility/2006" xmlns:a14="http://schemas.microsoft.com/office/drawing/2010/main">
      <mc:Choice Requires="a14">
        <xdr:graphicFrame macro="">
          <xdr:nvGraphicFramePr>
            <xdr:cNvPr id="34" name="Region 1">
              <a:extLst>
                <a:ext uri="{FF2B5EF4-FFF2-40B4-BE49-F238E27FC236}">
                  <a16:creationId xmlns:a16="http://schemas.microsoft.com/office/drawing/2014/main" id="{68EC3F62-3B1B-4B05-AB0F-381C210A4D3F}"/>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9137956" y="1145135"/>
              <a:ext cx="2419048" cy="75595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45362</xdr:colOff>
      <xdr:row>11</xdr:row>
      <xdr:rowOff>18135</xdr:rowOff>
    </xdr:from>
    <xdr:to>
      <xdr:col>3</xdr:col>
      <xdr:colOff>459019</xdr:colOff>
      <xdr:row>26</xdr:row>
      <xdr:rowOff>90706</xdr:rowOff>
    </xdr:to>
    <mc:AlternateContent xmlns:mc="http://schemas.openxmlformats.org/markup-compatibility/2006" xmlns:a14="http://schemas.microsoft.com/office/drawing/2010/main">
      <mc:Choice Requires="a14">
        <xdr:graphicFrame macro="">
          <xdr:nvGraphicFramePr>
            <xdr:cNvPr id="35" name="Sales Person 1">
              <a:extLst>
                <a:ext uri="{FF2B5EF4-FFF2-40B4-BE49-F238E27FC236}">
                  <a16:creationId xmlns:a16="http://schemas.microsoft.com/office/drawing/2014/main" id="{EB210F0C-DD6C-445B-892A-6389404231FF}"/>
                </a:ext>
              </a:extLst>
            </xdr:cNvPr>
            <xdr:cNvGraphicFramePr/>
          </xdr:nvGraphicFramePr>
          <xdr:xfrm>
            <a:off x="0" y="0"/>
            <a:ext cx="0" cy="0"/>
          </xdr:xfrm>
          <a:graphic>
            <a:graphicData uri="http://schemas.microsoft.com/office/drawing/2010/slicer">
              <sle:slicer xmlns:sle="http://schemas.microsoft.com/office/drawing/2010/slicer" name="Sales Person 1"/>
            </a:graphicData>
          </a:graphic>
        </xdr:graphicFrame>
      </mc:Choice>
      <mc:Fallback xmlns="">
        <xdr:sp macro="" textlink="">
          <xdr:nvSpPr>
            <xdr:cNvPr id="0" name=""/>
            <xdr:cNvSpPr>
              <a:spLocks noTextEdit="1"/>
            </xdr:cNvSpPr>
          </xdr:nvSpPr>
          <xdr:spPr>
            <a:xfrm>
              <a:off x="45362" y="1997218"/>
              <a:ext cx="2255157" cy="277132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36291</xdr:colOff>
      <xdr:row>26</xdr:row>
      <xdr:rowOff>136063</xdr:rowOff>
    </xdr:from>
    <xdr:to>
      <xdr:col>3</xdr:col>
      <xdr:colOff>495305</xdr:colOff>
      <xdr:row>38</xdr:row>
      <xdr:rowOff>175977</xdr:rowOff>
    </xdr:to>
    <mc:AlternateContent xmlns:mc="http://schemas.openxmlformats.org/markup-compatibility/2006" xmlns:a14="http://schemas.microsoft.com/office/drawing/2010/main">
      <mc:Choice Requires="a14">
        <xdr:graphicFrame macro="">
          <xdr:nvGraphicFramePr>
            <xdr:cNvPr id="36" name="Product 1">
              <a:extLst>
                <a:ext uri="{FF2B5EF4-FFF2-40B4-BE49-F238E27FC236}">
                  <a16:creationId xmlns:a16="http://schemas.microsoft.com/office/drawing/2014/main" id="{E8E36A31-6AEB-4A39-A4C0-0454084E15D7}"/>
                </a:ext>
              </a:extLst>
            </xdr:cNvPr>
            <xdr:cNvGraphicFramePr/>
          </xdr:nvGraphicFramePr>
          <xdr:xfrm>
            <a:off x="0" y="0"/>
            <a:ext cx="0" cy="0"/>
          </xdr:xfrm>
          <a:graphic>
            <a:graphicData uri="http://schemas.microsoft.com/office/drawing/2010/slicer">
              <sle:slicer xmlns:sle="http://schemas.microsoft.com/office/drawing/2010/slicer" name="Product 1"/>
            </a:graphicData>
          </a:graphic>
        </xdr:graphicFrame>
      </mc:Choice>
      <mc:Fallback xmlns="">
        <xdr:sp macro="" textlink="">
          <xdr:nvSpPr>
            <xdr:cNvPr id="0" name=""/>
            <xdr:cNvSpPr>
              <a:spLocks noTextEdit="1"/>
            </xdr:cNvSpPr>
          </xdr:nvSpPr>
          <xdr:spPr>
            <a:xfrm>
              <a:off x="36291" y="4813896"/>
              <a:ext cx="2300514" cy="219891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562429</xdr:colOff>
      <xdr:row>11</xdr:row>
      <xdr:rowOff>63500</xdr:rowOff>
    </xdr:from>
    <xdr:to>
      <xdr:col>12</xdr:col>
      <xdr:colOff>199571</xdr:colOff>
      <xdr:row>26</xdr:row>
      <xdr:rowOff>18143</xdr:rowOff>
    </xdr:to>
    <xdr:sp macro="" textlink="">
      <xdr:nvSpPr>
        <xdr:cNvPr id="45" name="Rectangle: Rounded Corners 44">
          <a:extLst>
            <a:ext uri="{FF2B5EF4-FFF2-40B4-BE49-F238E27FC236}">
              <a16:creationId xmlns:a16="http://schemas.microsoft.com/office/drawing/2014/main" id="{F2C1641C-67F1-F8FB-98BB-A71E6D3F3E0A}"/>
            </a:ext>
          </a:extLst>
        </xdr:cNvPr>
        <xdr:cNvSpPr/>
      </xdr:nvSpPr>
      <xdr:spPr>
        <a:xfrm>
          <a:off x="2385786" y="2059214"/>
          <a:ext cx="5107214" cy="2676072"/>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4</xdr:col>
      <xdr:colOff>308427</xdr:colOff>
      <xdr:row>12</xdr:row>
      <xdr:rowOff>63500</xdr:rowOff>
    </xdr:from>
    <xdr:to>
      <xdr:col>11</xdr:col>
      <xdr:colOff>562426</xdr:colOff>
      <xdr:row>25</xdr:row>
      <xdr:rowOff>36287</xdr:rowOff>
    </xdr:to>
    <xdr:graphicFrame macro="">
      <xdr:nvGraphicFramePr>
        <xdr:cNvPr id="46" name="Chart 45">
          <a:extLst>
            <a:ext uri="{FF2B5EF4-FFF2-40B4-BE49-F238E27FC236}">
              <a16:creationId xmlns:a16="http://schemas.microsoft.com/office/drawing/2014/main" id="{3B96D142-0B3E-4B77-B194-4CD17F1D6C5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12</xdr:col>
      <xdr:colOff>263068</xdr:colOff>
      <xdr:row>11</xdr:row>
      <xdr:rowOff>54429</xdr:rowOff>
    </xdr:from>
    <xdr:to>
      <xdr:col>19</xdr:col>
      <xdr:colOff>18140</xdr:colOff>
      <xdr:row>25</xdr:row>
      <xdr:rowOff>163286</xdr:rowOff>
    </xdr:to>
    <xdr:sp macro="" textlink="">
      <xdr:nvSpPr>
        <xdr:cNvPr id="47" name="Rectangle: Rounded Corners 46">
          <a:extLst>
            <a:ext uri="{FF2B5EF4-FFF2-40B4-BE49-F238E27FC236}">
              <a16:creationId xmlns:a16="http://schemas.microsoft.com/office/drawing/2014/main" id="{ECE812BD-3489-4BBF-42A0-B46FE5B3C97D}"/>
            </a:ext>
          </a:extLst>
        </xdr:cNvPr>
        <xdr:cNvSpPr/>
      </xdr:nvSpPr>
      <xdr:spPr>
        <a:xfrm>
          <a:off x="7556497" y="2050143"/>
          <a:ext cx="4009572" cy="2648857"/>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3</xdr:col>
      <xdr:colOff>580571</xdr:colOff>
      <xdr:row>26</xdr:row>
      <xdr:rowOff>108856</xdr:rowOff>
    </xdr:from>
    <xdr:to>
      <xdr:col>12</xdr:col>
      <xdr:colOff>344714</xdr:colOff>
      <xdr:row>38</xdr:row>
      <xdr:rowOff>136071</xdr:rowOff>
    </xdr:to>
    <xdr:sp macro="" textlink="">
      <xdr:nvSpPr>
        <xdr:cNvPr id="48" name="Rectangle: Rounded Corners 47">
          <a:extLst>
            <a:ext uri="{FF2B5EF4-FFF2-40B4-BE49-F238E27FC236}">
              <a16:creationId xmlns:a16="http://schemas.microsoft.com/office/drawing/2014/main" id="{EB0973EC-9C75-FD1B-1628-5DE6403E0759}"/>
            </a:ext>
          </a:extLst>
        </xdr:cNvPr>
        <xdr:cNvSpPr/>
      </xdr:nvSpPr>
      <xdr:spPr>
        <a:xfrm>
          <a:off x="2403928" y="4825999"/>
          <a:ext cx="5234215" cy="2204358"/>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4</xdr:col>
      <xdr:colOff>172357</xdr:colOff>
      <xdr:row>26</xdr:row>
      <xdr:rowOff>181427</xdr:rowOff>
    </xdr:from>
    <xdr:to>
      <xdr:col>12</xdr:col>
      <xdr:colOff>108857</xdr:colOff>
      <xdr:row>38</xdr:row>
      <xdr:rowOff>36285</xdr:rowOff>
    </xdr:to>
    <xdr:graphicFrame macro="">
      <xdr:nvGraphicFramePr>
        <xdr:cNvPr id="49" name="Chart 48">
          <a:extLst>
            <a:ext uri="{FF2B5EF4-FFF2-40B4-BE49-F238E27FC236}">
              <a16:creationId xmlns:a16="http://schemas.microsoft.com/office/drawing/2014/main" id="{7FBF075E-D7D5-46F0-819C-E99D3EBD343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12</xdr:col>
      <xdr:colOff>408214</xdr:colOff>
      <xdr:row>26</xdr:row>
      <xdr:rowOff>72571</xdr:rowOff>
    </xdr:from>
    <xdr:to>
      <xdr:col>19</xdr:col>
      <xdr:colOff>81642</xdr:colOff>
      <xdr:row>38</xdr:row>
      <xdr:rowOff>127000</xdr:rowOff>
    </xdr:to>
    <xdr:sp macro="" textlink="">
      <xdr:nvSpPr>
        <xdr:cNvPr id="50" name="Rectangle: Rounded Corners 49">
          <a:extLst>
            <a:ext uri="{FF2B5EF4-FFF2-40B4-BE49-F238E27FC236}">
              <a16:creationId xmlns:a16="http://schemas.microsoft.com/office/drawing/2014/main" id="{77A04B77-3ABD-7C9D-7E96-CE6A14CB3492}"/>
            </a:ext>
          </a:extLst>
        </xdr:cNvPr>
        <xdr:cNvSpPr/>
      </xdr:nvSpPr>
      <xdr:spPr>
        <a:xfrm>
          <a:off x="7701643" y="4789714"/>
          <a:ext cx="3927928" cy="2231572"/>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12</xdr:col>
      <xdr:colOff>589643</xdr:colOff>
      <xdr:row>26</xdr:row>
      <xdr:rowOff>163286</xdr:rowOff>
    </xdr:from>
    <xdr:to>
      <xdr:col>18</xdr:col>
      <xdr:colOff>435428</xdr:colOff>
      <xdr:row>37</xdr:row>
      <xdr:rowOff>154214</xdr:rowOff>
    </xdr:to>
    <xdr:graphicFrame macro="">
      <xdr:nvGraphicFramePr>
        <xdr:cNvPr id="51" name="Chart 50">
          <a:extLst>
            <a:ext uri="{FF2B5EF4-FFF2-40B4-BE49-F238E27FC236}">
              <a16:creationId xmlns:a16="http://schemas.microsoft.com/office/drawing/2014/main" id="{DEAD6661-7AC1-45DD-B043-5E9DA1A306B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12</xdr:col>
      <xdr:colOff>482430</xdr:colOff>
      <xdr:row>11</xdr:row>
      <xdr:rowOff>173181</xdr:rowOff>
    </xdr:from>
    <xdr:to>
      <xdr:col>18</xdr:col>
      <xdr:colOff>415636</xdr:colOff>
      <xdr:row>25</xdr:row>
      <xdr:rowOff>23091</xdr:rowOff>
    </xdr:to>
    <xdr:graphicFrame macro="">
      <xdr:nvGraphicFramePr>
        <xdr:cNvPr id="52" name="Chart 51">
          <a:extLst>
            <a:ext uri="{FF2B5EF4-FFF2-40B4-BE49-F238E27FC236}">
              <a16:creationId xmlns:a16="http://schemas.microsoft.com/office/drawing/2014/main" id="{FCA9D7D0-FA84-48F5-AF28-52F7D43CBED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104775</xdr:colOff>
      <xdr:row>26</xdr:row>
      <xdr:rowOff>149225</xdr:rowOff>
    </xdr:from>
    <xdr:to>
      <xdr:col>5</xdr:col>
      <xdr:colOff>79375</xdr:colOff>
      <xdr:row>42</xdr:row>
      <xdr:rowOff>10825</xdr:rowOff>
    </xdr:to>
    <xdr:graphicFrame macro="">
      <xdr:nvGraphicFramePr>
        <xdr:cNvPr id="3" name="Chart 2">
          <a:extLst>
            <a:ext uri="{FF2B5EF4-FFF2-40B4-BE49-F238E27FC236}">
              <a16:creationId xmlns:a16="http://schemas.microsoft.com/office/drawing/2014/main" id="{C245510A-FF75-3E89-081C-1F89D54976E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464911</xdr:colOff>
      <xdr:row>28</xdr:row>
      <xdr:rowOff>83911</xdr:rowOff>
    </xdr:from>
    <xdr:to>
      <xdr:col>10</xdr:col>
      <xdr:colOff>884918</xdr:colOff>
      <xdr:row>43</xdr:row>
      <xdr:rowOff>64860</xdr:rowOff>
    </xdr:to>
    <xdr:graphicFrame macro="">
      <xdr:nvGraphicFramePr>
        <xdr:cNvPr id="4" name="Chart 3">
          <a:extLst>
            <a:ext uri="{FF2B5EF4-FFF2-40B4-BE49-F238E27FC236}">
              <a16:creationId xmlns:a16="http://schemas.microsoft.com/office/drawing/2014/main" id="{48C3F4CD-2DE4-4C4F-027F-DA565BCDDB6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140607</xdr:colOff>
      <xdr:row>15</xdr:row>
      <xdr:rowOff>37192</xdr:rowOff>
    </xdr:from>
    <xdr:to>
      <xdr:col>10</xdr:col>
      <xdr:colOff>553356</xdr:colOff>
      <xdr:row>28</xdr:row>
      <xdr:rowOff>10885</xdr:rowOff>
    </xdr:to>
    <xdr:graphicFrame macro="">
      <xdr:nvGraphicFramePr>
        <xdr:cNvPr id="5" name="Chart 4">
          <a:extLst>
            <a:ext uri="{FF2B5EF4-FFF2-40B4-BE49-F238E27FC236}">
              <a16:creationId xmlns:a16="http://schemas.microsoft.com/office/drawing/2014/main" id="{F2300D8F-4951-9648-685C-935A8AD252D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6</xdr:col>
      <xdr:colOff>3629</xdr:colOff>
      <xdr:row>7</xdr:row>
      <xdr:rowOff>50799</xdr:rowOff>
    </xdr:from>
    <xdr:to>
      <xdr:col>8</xdr:col>
      <xdr:colOff>244928</xdr:colOff>
      <xdr:row>23</xdr:row>
      <xdr:rowOff>163286</xdr:rowOff>
    </xdr:to>
    <mc:AlternateContent xmlns:mc="http://schemas.openxmlformats.org/markup-compatibility/2006" xmlns:a14="http://schemas.microsoft.com/office/drawing/2010/main">
      <mc:Choice Requires="a14">
        <xdr:graphicFrame macro="">
          <xdr:nvGraphicFramePr>
            <xdr:cNvPr id="6" name="Sales Person">
              <a:extLst>
                <a:ext uri="{FF2B5EF4-FFF2-40B4-BE49-F238E27FC236}">
                  <a16:creationId xmlns:a16="http://schemas.microsoft.com/office/drawing/2014/main" id="{A9A6F74F-6EAF-23ED-168E-38A8ABEC51E1}"/>
                </a:ext>
              </a:extLst>
            </xdr:cNvPr>
            <xdr:cNvGraphicFramePr/>
          </xdr:nvGraphicFramePr>
          <xdr:xfrm>
            <a:off x="0" y="0"/>
            <a:ext cx="0" cy="0"/>
          </xdr:xfrm>
          <a:graphic>
            <a:graphicData uri="http://schemas.microsoft.com/office/drawing/2010/slicer">
              <sle:slicer xmlns:sle="http://schemas.microsoft.com/office/drawing/2010/slicer" name="Sales Person"/>
            </a:graphicData>
          </a:graphic>
        </xdr:graphicFrame>
      </mc:Choice>
      <mc:Fallback xmlns="">
        <xdr:sp macro="" textlink="">
          <xdr:nvSpPr>
            <xdr:cNvPr id="0" name=""/>
            <xdr:cNvSpPr>
              <a:spLocks noTextEdit="1"/>
            </xdr:cNvSpPr>
          </xdr:nvSpPr>
          <xdr:spPr>
            <a:xfrm>
              <a:off x="5346700" y="1320799"/>
              <a:ext cx="2237014" cy="301534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225879</xdr:colOff>
      <xdr:row>4</xdr:row>
      <xdr:rowOff>136978</xdr:rowOff>
    </xdr:from>
    <xdr:to>
      <xdr:col>14</xdr:col>
      <xdr:colOff>231322</xdr:colOff>
      <xdr:row>8</xdr:row>
      <xdr:rowOff>145142</xdr:rowOff>
    </xdr:to>
    <mc:AlternateContent xmlns:mc="http://schemas.openxmlformats.org/markup-compatibility/2006" xmlns:a14="http://schemas.microsoft.com/office/drawing/2010/main">
      <mc:Choice Requires="a14">
        <xdr:graphicFrame macro="">
          <xdr:nvGraphicFramePr>
            <xdr:cNvPr id="7" name="Region">
              <a:extLst>
                <a:ext uri="{FF2B5EF4-FFF2-40B4-BE49-F238E27FC236}">
                  <a16:creationId xmlns:a16="http://schemas.microsoft.com/office/drawing/2014/main" id="{59D0AE67-3378-9206-79C7-F8E5C1FFF643}"/>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0131879" y="862692"/>
              <a:ext cx="1828800" cy="7338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947055</xdr:colOff>
      <xdr:row>11</xdr:row>
      <xdr:rowOff>141515</xdr:rowOff>
    </xdr:from>
    <xdr:to>
      <xdr:col>14</xdr:col>
      <xdr:colOff>317498</xdr:colOff>
      <xdr:row>24</xdr:row>
      <xdr:rowOff>0</xdr:rowOff>
    </xdr:to>
    <mc:AlternateContent xmlns:mc="http://schemas.openxmlformats.org/markup-compatibility/2006" xmlns:a14="http://schemas.microsoft.com/office/drawing/2010/main">
      <mc:Choice Requires="a14">
        <xdr:graphicFrame macro="">
          <xdr:nvGraphicFramePr>
            <xdr:cNvPr id="8" name="Product">
              <a:extLst>
                <a:ext uri="{FF2B5EF4-FFF2-40B4-BE49-F238E27FC236}">
                  <a16:creationId xmlns:a16="http://schemas.microsoft.com/office/drawing/2014/main" id="{300AAF2F-AB0A-8034-7D21-554CEA950DCF}"/>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9764484" y="2137229"/>
              <a:ext cx="2282371" cy="221705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711200</xdr:colOff>
      <xdr:row>14</xdr:row>
      <xdr:rowOff>31749</xdr:rowOff>
    </xdr:from>
    <xdr:to>
      <xdr:col>4</xdr:col>
      <xdr:colOff>714375</xdr:colOff>
      <xdr:row>25</xdr:row>
      <xdr:rowOff>130174</xdr:rowOff>
    </xdr:to>
    <xdr:graphicFrame macro="">
      <xdr:nvGraphicFramePr>
        <xdr:cNvPr id="9" name="Chart 8">
          <a:extLst>
            <a:ext uri="{FF2B5EF4-FFF2-40B4-BE49-F238E27FC236}">
              <a16:creationId xmlns:a16="http://schemas.microsoft.com/office/drawing/2014/main" id="{2B0E1041-5D2B-9FA3-31B4-8F885301787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here" refreshedDate="45997.855138888888" createdVersion="8" refreshedVersion="8" minRefreshableVersion="3" recordCount="50" xr:uid="{16EB58DF-B422-4DEC-A240-A98F0CE94444}">
  <cacheSource type="worksheet">
    <worksheetSource name="Table2"/>
  </cacheSource>
  <cacheFields count="10">
    <cacheField name="Date" numFmtId="14">
      <sharedItems containsSemiMixedTypes="0" containsNonDate="0" containsDate="1" containsString="0" minDate="2020-05-07T00:00:00" maxDate="2021-12-22T00:00:00"/>
    </cacheField>
    <cacheField name="Sales Person" numFmtId="0">
      <sharedItems count="10">
        <s v="Andrew"/>
        <s v="Grace"/>
        <s v="Ella"/>
        <s v="Cameron"/>
        <s v="Megan"/>
        <s v="Carolyn"/>
        <s v="Virginia"/>
        <s v="Connor"/>
        <s v="Anna"/>
        <s v="Nicholas"/>
      </sharedItems>
    </cacheField>
    <cacheField name="Region" numFmtId="0">
      <sharedItems count="4">
        <s v="West"/>
        <s v="East"/>
        <s v="South"/>
        <s v="North"/>
      </sharedItems>
    </cacheField>
    <cacheField name="Product" numFmtId="0">
      <sharedItems count="7">
        <s v="Tent"/>
        <s v="Blender"/>
        <s v="Action Figure"/>
        <s v="Novel"/>
        <s v="Sneakers"/>
        <s v="Moisturizer"/>
        <s v="Smartphone"/>
      </sharedItems>
    </cacheField>
    <cacheField name="Units Sold" numFmtId="0">
      <sharedItems containsSemiMixedTypes="0" containsString="0" containsNumber="1" containsInteger="1" minValue="51" maxValue="149"/>
    </cacheField>
    <cacheField name="Unit Price" numFmtId="164">
      <sharedItems containsSemiMixedTypes="0" containsString="0" containsNumber="1" containsInteger="1" minValue="600" maxValue="10000"/>
    </cacheField>
    <cacheField name="Cost of Goods" numFmtId="164">
      <sharedItems containsSemiMixedTypes="0" containsString="0" containsNumber="1" containsInteger="1" minValue="400" maxValue="7000"/>
    </cacheField>
    <cacheField name="Total Sales" numFmtId="164">
      <sharedItems containsSemiMixedTypes="0" containsString="0" containsNumber="1" containsInteger="1" minValue="34200" maxValue="1270000" count="47">
        <n v="504000"/>
        <n v="448000"/>
        <n v="163200"/>
        <n v="91000"/>
        <n v="440000"/>
        <n v="61200"/>
        <n v="78000"/>
        <n v="876000"/>
        <n v="60600"/>
        <n v="312000"/>
        <n v="66000"/>
        <n v="137000"/>
        <n v="336000"/>
        <n v="208000"/>
        <n v="266000"/>
        <n v="580000"/>
        <n v="49800"/>
        <n v="1080000"/>
        <n v="576000"/>
        <n v="55200"/>
        <n v="426000"/>
        <n v="61800"/>
        <n v="55000"/>
        <n v="372000"/>
        <n v="85800"/>
        <n v="500500"/>
        <n v="59400"/>
        <n v="120000"/>
        <n v="231000"/>
        <n v="105600"/>
        <n v="1270000"/>
        <n v="268000"/>
        <n v="80400"/>
        <n v="149000"/>
        <n v="62400"/>
        <n v="34200"/>
        <n v="54000"/>
        <n v="40200"/>
        <n v="508000"/>
        <n v="108000"/>
        <n v="468000"/>
        <n v="69000"/>
        <n v="70800"/>
        <n v="65400"/>
        <n v="244000"/>
        <n v="210000"/>
        <n v="438000"/>
      </sharedItems>
    </cacheField>
    <cacheField name="Profit " numFmtId="164">
      <sharedItems containsSemiMixedTypes="0" containsString="0" containsNumber="1" containsInteger="1" minValue="11400" maxValue="381000"/>
    </cacheField>
    <cacheField name="Grand Total " numFmtId="0">
      <sharedItems containsBlank="1" containsMixedTypes="1" containsNumber="1" containsInteger="1" minValue="4705" maxValue="12944500"/>
    </cacheField>
  </cacheFields>
  <extLst>
    <ext xmlns:x14="http://schemas.microsoft.com/office/spreadsheetml/2009/9/main" uri="{725AE2AE-9491-48be-B2B4-4EB974FC3084}">
      <x14:pivotCacheDefinition pivotCacheId="20986956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
  <r>
    <d v="2021-02-19T00:00:00"/>
    <x v="0"/>
    <x v="0"/>
    <x v="0"/>
    <n v="84"/>
    <n v="6000"/>
    <n v="4000"/>
    <x v="0"/>
    <n v="168000"/>
    <n v="12944500"/>
  </r>
  <r>
    <d v="2021-09-07T00:00:00"/>
    <x v="1"/>
    <x v="1"/>
    <x v="1"/>
    <n v="128"/>
    <n v="3500"/>
    <n v="2500"/>
    <x v="1"/>
    <n v="128000"/>
    <s v="Unit Sold "/>
  </r>
  <r>
    <d v="2021-02-03T00:00:00"/>
    <x v="2"/>
    <x v="2"/>
    <x v="2"/>
    <n v="136"/>
    <n v="1200"/>
    <n v="800"/>
    <x v="2"/>
    <n v="54400"/>
    <n v="4705"/>
  </r>
  <r>
    <d v="2020-09-11T00:00:00"/>
    <x v="3"/>
    <x v="3"/>
    <x v="3"/>
    <n v="91"/>
    <n v="1000"/>
    <n v="700"/>
    <x v="3"/>
    <n v="27300"/>
    <s v="Total Profit"/>
  </r>
  <r>
    <d v="2021-09-23T00:00:00"/>
    <x v="4"/>
    <x v="0"/>
    <x v="4"/>
    <n v="110"/>
    <n v="4000"/>
    <n v="3000"/>
    <x v="4"/>
    <n v="110000"/>
    <n v="3834400"/>
  </r>
  <r>
    <d v="2020-10-01T00:00:00"/>
    <x v="5"/>
    <x v="1"/>
    <x v="2"/>
    <n v="51"/>
    <n v="1200"/>
    <n v="800"/>
    <x v="5"/>
    <n v="20400"/>
    <s v="Average Sales"/>
  </r>
  <r>
    <d v="2021-08-05T00:00:00"/>
    <x v="6"/>
    <x v="3"/>
    <x v="3"/>
    <n v="78"/>
    <n v="1000"/>
    <n v="700"/>
    <x v="6"/>
    <n v="23400"/>
    <n v="258890"/>
  </r>
  <r>
    <d v="2020-11-06T00:00:00"/>
    <x v="7"/>
    <x v="2"/>
    <x v="0"/>
    <n v="146"/>
    <n v="6000"/>
    <n v="4000"/>
    <x v="7"/>
    <n v="292000"/>
    <m/>
  </r>
  <r>
    <d v="2021-01-27T00:00:00"/>
    <x v="8"/>
    <x v="0"/>
    <x v="5"/>
    <n v="101"/>
    <n v="600"/>
    <n v="400"/>
    <x v="8"/>
    <n v="20200"/>
    <m/>
  </r>
  <r>
    <d v="2021-09-03T00:00:00"/>
    <x v="9"/>
    <x v="2"/>
    <x v="0"/>
    <n v="52"/>
    <n v="6000"/>
    <n v="4000"/>
    <x v="9"/>
    <n v="104000"/>
    <m/>
  </r>
  <r>
    <d v="2021-09-30T00:00:00"/>
    <x v="9"/>
    <x v="1"/>
    <x v="2"/>
    <n v="55"/>
    <n v="1200"/>
    <n v="800"/>
    <x v="10"/>
    <n v="22000"/>
    <m/>
  </r>
  <r>
    <d v="2020-09-10T00:00:00"/>
    <x v="9"/>
    <x v="2"/>
    <x v="3"/>
    <n v="137"/>
    <n v="1000"/>
    <n v="700"/>
    <x v="11"/>
    <n v="41100"/>
    <m/>
  </r>
  <r>
    <d v="2021-07-27T00:00:00"/>
    <x v="7"/>
    <x v="2"/>
    <x v="1"/>
    <n v="96"/>
    <n v="3500"/>
    <n v="2500"/>
    <x v="12"/>
    <n v="96000"/>
    <m/>
  </r>
  <r>
    <d v="2020-10-09T00:00:00"/>
    <x v="8"/>
    <x v="1"/>
    <x v="4"/>
    <n v="52"/>
    <n v="4000"/>
    <n v="3000"/>
    <x v="13"/>
    <n v="52000"/>
    <m/>
  </r>
  <r>
    <d v="2021-04-06T00:00:00"/>
    <x v="3"/>
    <x v="0"/>
    <x v="1"/>
    <n v="76"/>
    <n v="3500"/>
    <n v="2500"/>
    <x v="14"/>
    <n v="76000"/>
    <m/>
  </r>
  <r>
    <d v="2021-06-15T00:00:00"/>
    <x v="1"/>
    <x v="3"/>
    <x v="4"/>
    <n v="145"/>
    <n v="4000"/>
    <n v="3000"/>
    <x v="15"/>
    <n v="145000"/>
    <m/>
  </r>
  <r>
    <d v="2020-09-09T00:00:00"/>
    <x v="0"/>
    <x v="2"/>
    <x v="5"/>
    <n v="83"/>
    <n v="600"/>
    <n v="400"/>
    <x v="16"/>
    <n v="16600"/>
    <m/>
  </r>
  <r>
    <d v="2021-08-13T00:00:00"/>
    <x v="4"/>
    <x v="2"/>
    <x v="3"/>
    <n v="91"/>
    <n v="1000"/>
    <n v="700"/>
    <x v="3"/>
    <n v="27300"/>
    <m/>
  </r>
  <r>
    <d v="2020-08-27T00:00:00"/>
    <x v="5"/>
    <x v="0"/>
    <x v="6"/>
    <n v="108"/>
    <n v="10000"/>
    <n v="7000"/>
    <x v="17"/>
    <n v="324000"/>
    <m/>
  </r>
  <r>
    <d v="2021-04-07T00:00:00"/>
    <x v="2"/>
    <x v="3"/>
    <x v="4"/>
    <n v="144"/>
    <n v="4000"/>
    <n v="3000"/>
    <x v="18"/>
    <n v="144000"/>
    <m/>
  </r>
  <r>
    <d v="2020-06-08T00:00:00"/>
    <x v="4"/>
    <x v="2"/>
    <x v="5"/>
    <n v="92"/>
    <n v="600"/>
    <n v="400"/>
    <x v="19"/>
    <n v="18400"/>
    <m/>
  </r>
  <r>
    <d v="2021-12-21T00:00:00"/>
    <x v="7"/>
    <x v="0"/>
    <x v="0"/>
    <n v="71"/>
    <n v="6000"/>
    <n v="4000"/>
    <x v="20"/>
    <n v="142000"/>
    <m/>
  </r>
  <r>
    <d v="2021-08-10T00:00:00"/>
    <x v="0"/>
    <x v="1"/>
    <x v="5"/>
    <n v="103"/>
    <n v="600"/>
    <n v="400"/>
    <x v="21"/>
    <n v="20600"/>
    <m/>
  </r>
  <r>
    <d v="2021-12-02T00:00:00"/>
    <x v="9"/>
    <x v="3"/>
    <x v="3"/>
    <n v="55"/>
    <n v="1000"/>
    <n v="700"/>
    <x v="22"/>
    <n v="16500"/>
    <m/>
  </r>
  <r>
    <d v="2021-08-30T00:00:00"/>
    <x v="5"/>
    <x v="1"/>
    <x v="4"/>
    <n v="93"/>
    <n v="4000"/>
    <n v="3000"/>
    <x v="23"/>
    <n v="93000"/>
    <m/>
  </r>
  <r>
    <d v="2020-05-20T00:00:00"/>
    <x v="2"/>
    <x v="2"/>
    <x v="5"/>
    <n v="143"/>
    <n v="600"/>
    <n v="400"/>
    <x v="24"/>
    <n v="28600"/>
    <m/>
  </r>
  <r>
    <d v="2021-09-13T00:00:00"/>
    <x v="6"/>
    <x v="0"/>
    <x v="1"/>
    <n v="143"/>
    <n v="3500"/>
    <n v="2500"/>
    <x v="25"/>
    <n v="143000"/>
    <m/>
  </r>
  <r>
    <d v="2021-10-27T00:00:00"/>
    <x v="8"/>
    <x v="3"/>
    <x v="5"/>
    <n v="99"/>
    <n v="600"/>
    <n v="400"/>
    <x v="26"/>
    <n v="19800"/>
    <m/>
  </r>
  <r>
    <d v="2020-12-22T00:00:00"/>
    <x v="3"/>
    <x v="0"/>
    <x v="3"/>
    <n v="120"/>
    <n v="1000"/>
    <n v="700"/>
    <x v="27"/>
    <n v="36000"/>
    <m/>
  </r>
  <r>
    <d v="2021-07-28T00:00:00"/>
    <x v="1"/>
    <x v="2"/>
    <x v="1"/>
    <n v="66"/>
    <n v="3500"/>
    <n v="2500"/>
    <x v="28"/>
    <n v="66000"/>
    <m/>
  </r>
  <r>
    <d v="2020-09-29T00:00:00"/>
    <x v="8"/>
    <x v="3"/>
    <x v="2"/>
    <n v="88"/>
    <n v="1200"/>
    <n v="800"/>
    <x v="29"/>
    <n v="35200"/>
    <m/>
  </r>
  <r>
    <d v="2020-10-22T00:00:00"/>
    <x v="3"/>
    <x v="1"/>
    <x v="6"/>
    <n v="127"/>
    <n v="10000"/>
    <n v="7000"/>
    <x v="30"/>
    <n v="381000"/>
    <m/>
  </r>
  <r>
    <d v="2020-05-19T00:00:00"/>
    <x v="4"/>
    <x v="0"/>
    <x v="4"/>
    <n v="67"/>
    <n v="4000"/>
    <n v="3000"/>
    <x v="31"/>
    <n v="67000"/>
    <m/>
  </r>
  <r>
    <d v="2021-12-06T00:00:00"/>
    <x v="1"/>
    <x v="1"/>
    <x v="2"/>
    <n v="67"/>
    <n v="1200"/>
    <n v="800"/>
    <x v="32"/>
    <n v="26800"/>
    <m/>
  </r>
  <r>
    <d v="2020-08-26T00:00:00"/>
    <x v="9"/>
    <x v="2"/>
    <x v="3"/>
    <n v="149"/>
    <n v="1000"/>
    <n v="700"/>
    <x v="33"/>
    <n v="44700"/>
    <m/>
  </r>
  <r>
    <d v="2021-07-01T00:00:00"/>
    <x v="4"/>
    <x v="3"/>
    <x v="5"/>
    <n v="104"/>
    <n v="600"/>
    <n v="400"/>
    <x v="34"/>
    <n v="20800"/>
    <m/>
  </r>
  <r>
    <d v="2021-07-27T00:00:00"/>
    <x v="7"/>
    <x v="0"/>
    <x v="5"/>
    <n v="57"/>
    <n v="600"/>
    <n v="400"/>
    <x v="35"/>
    <n v="11400"/>
    <m/>
  </r>
  <r>
    <d v="2020-10-05T00:00:00"/>
    <x v="2"/>
    <x v="1"/>
    <x v="5"/>
    <n v="90"/>
    <n v="600"/>
    <n v="400"/>
    <x v="36"/>
    <n v="18000"/>
    <m/>
  </r>
  <r>
    <d v="2020-09-02T00:00:00"/>
    <x v="5"/>
    <x v="2"/>
    <x v="5"/>
    <n v="67"/>
    <n v="600"/>
    <n v="400"/>
    <x v="37"/>
    <n v="13400"/>
    <m/>
  </r>
  <r>
    <d v="2021-09-02T00:00:00"/>
    <x v="0"/>
    <x v="3"/>
    <x v="4"/>
    <n v="127"/>
    <n v="4000"/>
    <n v="3000"/>
    <x v="38"/>
    <n v="127000"/>
    <m/>
  </r>
  <r>
    <d v="2021-04-13T00:00:00"/>
    <x v="5"/>
    <x v="0"/>
    <x v="3"/>
    <n v="108"/>
    <n v="1000"/>
    <n v="700"/>
    <x v="39"/>
    <n v="32400"/>
    <m/>
  </r>
  <r>
    <d v="2021-05-06T00:00:00"/>
    <x v="2"/>
    <x v="1"/>
    <x v="1"/>
    <n v="66"/>
    <n v="3500"/>
    <n v="2500"/>
    <x v="28"/>
    <n v="66000"/>
    <m/>
  </r>
  <r>
    <d v="2021-01-15T00:00:00"/>
    <x v="0"/>
    <x v="3"/>
    <x v="0"/>
    <n v="78"/>
    <n v="6000"/>
    <n v="4000"/>
    <x v="40"/>
    <n v="156000"/>
    <m/>
  </r>
  <r>
    <d v="2020-08-27T00:00:00"/>
    <x v="7"/>
    <x v="2"/>
    <x v="3"/>
    <n v="69"/>
    <n v="1000"/>
    <n v="700"/>
    <x v="41"/>
    <n v="20700"/>
    <m/>
  </r>
  <r>
    <d v="2021-02-05T00:00:00"/>
    <x v="4"/>
    <x v="0"/>
    <x v="2"/>
    <n v="59"/>
    <n v="1200"/>
    <n v="800"/>
    <x v="42"/>
    <n v="23600"/>
    <m/>
  </r>
  <r>
    <d v="2021-11-17T00:00:00"/>
    <x v="9"/>
    <x v="2"/>
    <x v="5"/>
    <n v="109"/>
    <n v="600"/>
    <n v="400"/>
    <x v="43"/>
    <n v="21800"/>
    <m/>
  </r>
  <r>
    <d v="2020-12-28T00:00:00"/>
    <x v="8"/>
    <x v="1"/>
    <x v="4"/>
    <n v="61"/>
    <n v="4000"/>
    <n v="3000"/>
    <x v="44"/>
    <n v="61000"/>
    <m/>
  </r>
  <r>
    <d v="2021-10-27T00:00:00"/>
    <x v="4"/>
    <x v="3"/>
    <x v="5"/>
    <n v="130"/>
    <n v="600"/>
    <n v="400"/>
    <x v="6"/>
    <n v="26000"/>
    <m/>
  </r>
  <r>
    <d v="2021-11-02T00:00:00"/>
    <x v="3"/>
    <x v="2"/>
    <x v="1"/>
    <n v="60"/>
    <n v="3500"/>
    <n v="2500"/>
    <x v="45"/>
    <n v="60000"/>
    <m/>
  </r>
  <r>
    <d v="2020-05-07T00:00:00"/>
    <x v="1"/>
    <x v="1"/>
    <x v="0"/>
    <n v="73"/>
    <n v="6000"/>
    <n v="4000"/>
    <x v="46"/>
    <n v="146000"/>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3EE5FB1-A997-4582-B4D3-CD87017991BD}"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7:B12" firstHeaderRow="1" firstDataRow="1" firstDataCol="1"/>
  <pivotFields count="10">
    <pivotField numFmtId="14" showAll="0"/>
    <pivotField showAll="0"/>
    <pivotField axis="axisRow" showAll="0">
      <items count="5">
        <item x="1"/>
        <item x="3"/>
        <item x="2"/>
        <item x="0"/>
        <item t="default"/>
      </items>
    </pivotField>
    <pivotField showAll="0"/>
    <pivotField showAll="0"/>
    <pivotField numFmtId="164" showAll="0"/>
    <pivotField numFmtId="164" showAll="0"/>
    <pivotField dataField="1" numFmtId="164" showAll="0"/>
    <pivotField numFmtId="164" showAll="0"/>
    <pivotField showAll="0"/>
  </pivotFields>
  <rowFields count="1">
    <field x="2"/>
  </rowFields>
  <rowItems count="5">
    <i>
      <x/>
    </i>
    <i>
      <x v="1"/>
    </i>
    <i>
      <x v="2"/>
    </i>
    <i>
      <x v="3"/>
    </i>
    <i t="grand">
      <x/>
    </i>
  </rowItems>
  <colItems count="1">
    <i/>
  </colItems>
  <dataFields count="1">
    <dataField name="Sum of Total Sales" fld="7" baseField="0" baseItem="0"/>
  </dataFields>
  <chartFormats count="11">
    <chartFormat chart="0" format="0" series="1">
      <pivotArea type="data" outline="0" fieldPosition="0">
        <references count="1">
          <reference field="4294967294" count="1" selected="0">
            <x v="0"/>
          </reference>
        </references>
      </pivotArea>
    </chartFormat>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2" count="1" selected="0">
            <x v="0"/>
          </reference>
        </references>
      </pivotArea>
    </chartFormat>
    <chartFormat chart="2" format="8">
      <pivotArea type="data" outline="0" fieldPosition="0">
        <references count="2">
          <reference field="4294967294" count="1" selected="0">
            <x v="0"/>
          </reference>
          <reference field="2" count="1" selected="0">
            <x v="1"/>
          </reference>
        </references>
      </pivotArea>
    </chartFormat>
    <chartFormat chart="2" format="9">
      <pivotArea type="data" outline="0" fieldPosition="0">
        <references count="2">
          <reference field="4294967294" count="1" selected="0">
            <x v="0"/>
          </reference>
          <reference field="2" count="1" selected="0">
            <x v="2"/>
          </reference>
        </references>
      </pivotArea>
    </chartFormat>
    <chartFormat chart="2" format="10">
      <pivotArea type="data" outline="0" fieldPosition="0">
        <references count="2">
          <reference field="4294967294" count="1" selected="0">
            <x v="0"/>
          </reference>
          <reference field="2" count="1" selected="0">
            <x v="3"/>
          </reference>
        </references>
      </pivotArea>
    </chartFormat>
    <chartFormat chart="0" format="1">
      <pivotArea type="data" outline="0" fieldPosition="0">
        <references count="2">
          <reference field="4294967294" count="1" selected="0">
            <x v="0"/>
          </reference>
          <reference field="2" count="1" selected="0">
            <x v="0"/>
          </reference>
        </references>
      </pivotArea>
    </chartFormat>
    <chartFormat chart="0" format="2">
      <pivotArea type="data" outline="0" fieldPosition="0">
        <references count="2">
          <reference field="4294967294" count="1" selected="0">
            <x v="0"/>
          </reference>
          <reference field="2" count="1" selected="0">
            <x v="1"/>
          </reference>
        </references>
      </pivotArea>
    </chartFormat>
    <chartFormat chart="0" format="3">
      <pivotArea type="data" outline="0" fieldPosition="0">
        <references count="2">
          <reference field="4294967294" count="1" selected="0">
            <x v="0"/>
          </reference>
          <reference field="2" count="1" selected="0">
            <x v="2"/>
          </reference>
        </references>
      </pivotArea>
    </chartFormat>
    <chartFormat chart="0" format="4">
      <pivotArea type="data" outline="0" fieldPosition="0">
        <references count="2">
          <reference field="4294967294" count="1" selected="0">
            <x v="0"/>
          </reference>
          <reference field="2" count="1" selected="0">
            <x v="3"/>
          </reference>
        </references>
      </pivotArea>
    </chartFormat>
    <chartFormat chart="3"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69BE70A-152F-4D4A-A10B-4C2E140F1015}"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6">
  <location ref="D3:E11" firstHeaderRow="1" firstDataRow="1" firstDataCol="1"/>
  <pivotFields count="10">
    <pivotField numFmtId="14" showAll="0"/>
    <pivotField showAll="0"/>
    <pivotField showAll="0">
      <items count="5">
        <item x="1"/>
        <item x="3"/>
        <item x="2"/>
        <item x="0"/>
        <item t="default"/>
      </items>
    </pivotField>
    <pivotField axis="axisRow" showAll="0">
      <items count="8">
        <item x="2"/>
        <item x="1"/>
        <item x="5"/>
        <item x="3"/>
        <item x="6"/>
        <item x="4"/>
        <item x="0"/>
        <item t="default"/>
      </items>
    </pivotField>
    <pivotField showAll="0"/>
    <pivotField numFmtId="164" showAll="0"/>
    <pivotField numFmtId="164" showAll="0"/>
    <pivotField dataField="1" numFmtId="164" showAll="0">
      <items count="48">
        <item x="35"/>
        <item x="37"/>
        <item x="16"/>
        <item x="36"/>
        <item x="22"/>
        <item x="19"/>
        <item x="26"/>
        <item x="8"/>
        <item x="5"/>
        <item x="21"/>
        <item x="34"/>
        <item x="43"/>
        <item x="10"/>
        <item x="41"/>
        <item x="42"/>
        <item x="6"/>
        <item x="32"/>
        <item x="24"/>
        <item x="3"/>
        <item x="29"/>
        <item x="39"/>
        <item x="27"/>
        <item x="11"/>
        <item x="33"/>
        <item x="2"/>
        <item x="13"/>
        <item x="45"/>
        <item x="28"/>
        <item x="44"/>
        <item x="14"/>
        <item x="31"/>
        <item x="9"/>
        <item x="12"/>
        <item x="23"/>
        <item x="20"/>
        <item x="46"/>
        <item x="4"/>
        <item x="1"/>
        <item x="40"/>
        <item x="25"/>
        <item x="0"/>
        <item x="38"/>
        <item x="18"/>
        <item x="15"/>
        <item x="7"/>
        <item x="17"/>
        <item x="30"/>
        <item t="default"/>
      </items>
    </pivotField>
    <pivotField numFmtId="164" showAll="0"/>
    <pivotField showAll="0"/>
  </pivotFields>
  <rowFields count="1">
    <field x="3"/>
  </rowFields>
  <rowItems count="8">
    <i>
      <x/>
    </i>
    <i>
      <x v="1"/>
    </i>
    <i>
      <x v="2"/>
    </i>
    <i>
      <x v="3"/>
    </i>
    <i>
      <x v="4"/>
    </i>
    <i>
      <x v="5"/>
    </i>
    <i>
      <x v="6"/>
    </i>
    <i t="grand">
      <x/>
    </i>
  </rowItems>
  <colItems count="1">
    <i/>
  </colItems>
  <dataFields count="1">
    <dataField name="Sum of Total Sales" fld="7" baseField="3" baseItem="0" numFmtId="164"/>
  </dataFields>
  <chartFormats count="2">
    <chartFormat chart="21" format="0" series="1">
      <pivotArea type="data" outline="0" fieldPosition="0">
        <references count="1">
          <reference field="4294967294" count="1" selected="0">
            <x v="0"/>
          </reference>
        </references>
      </pivotArea>
    </chartFormat>
    <chartFormat chart="2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CB35382-3769-479C-8114-9F7470EBF43F}"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J3:K11" firstHeaderRow="1" firstDataRow="1" firstDataCol="1"/>
  <pivotFields count="10">
    <pivotField numFmtId="14" showAll="0"/>
    <pivotField showAll="0"/>
    <pivotField showAll="0">
      <items count="5">
        <item x="1"/>
        <item x="3"/>
        <item x="2"/>
        <item x="0"/>
        <item t="default"/>
      </items>
    </pivotField>
    <pivotField axis="axisRow" showAll="0">
      <items count="8">
        <item x="2"/>
        <item x="1"/>
        <item x="5"/>
        <item x="3"/>
        <item x="6"/>
        <item x="4"/>
        <item x="0"/>
        <item t="default"/>
      </items>
    </pivotField>
    <pivotField dataField="1" showAll="0"/>
    <pivotField numFmtId="164" showAll="0"/>
    <pivotField numFmtId="164" showAll="0"/>
    <pivotField numFmtId="164" showAll="0">
      <items count="48">
        <item x="35"/>
        <item x="37"/>
        <item x="16"/>
        <item x="36"/>
        <item x="22"/>
        <item x="19"/>
        <item x="26"/>
        <item x="8"/>
        <item x="5"/>
        <item x="21"/>
        <item x="34"/>
        <item x="43"/>
        <item x="10"/>
        <item x="41"/>
        <item x="42"/>
        <item x="6"/>
        <item x="32"/>
        <item x="24"/>
        <item x="3"/>
        <item x="29"/>
        <item x="39"/>
        <item x="27"/>
        <item x="11"/>
        <item x="33"/>
        <item x="2"/>
        <item x="13"/>
        <item x="45"/>
        <item x="28"/>
        <item x="44"/>
        <item x="14"/>
        <item x="31"/>
        <item x="9"/>
        <item x="12"/>
        <item x="23"/>
        <item x="20"/>
        <item x="46"/>
        <item x="4"/>
        <item x="1"/>
        <item x="40"/>
        <item x="25"/>
        <item x="0"/>
        <item x="38"/>
        <item x="18"/>
        <item x="15"/>
        <item x="7"/>
        <item x="17"/>
        <item x="30"/>
        <item t="default"/>
      </items>
    </pivotField>
    <pivotField numFmtId="164" showAll="0"/>
    <pivotField showAll="0"/>
  </pivotFields>
  <rowFields count="1">
    <field x="3"/>
  </rowFields>
  <rowItems count="8">
    <i>
      <x/>
    </i>
    <i>
      <x v="1"/>
    </i>
    <i>
      <x v="2"/>
    </i>
    <i>
      <x v="3"/>
    </i>
    <i>
      <x v="4"/>
    </i>
    <i>
      <x v="5"/>
    </i>
    <i>
      <x v="6"/>
    </i>
    <i t="grand">
      <x/>
    </i>
  </rowItems>
  <colItems count="1">
    <i/>
  </colItems>
  <dataFields count="1">
    <dataField name="Sum of Units Sold" fld="4" baseField="0" baseItem="0"/>
  </dataFields>
  <chartFormats count="3">
    <chartFormat chart="8"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7F7188C-12EA-41C8-9D9D-751FB349A339}"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G3:H14" firstHeaderRow="1" firstDataRow="1" firstDataCol="1"/>
  <pivotFields count="10">
    <pivotField numFmtId="14" showAll="0"/>
    <pivotField axis="axisRow" showAll="0">
      <items count="11">
        <item x="0"/>
        <item x="8"/>
        <item x="3"/>
        <item x="5"/>
        <item x="7"/>
        <item x="2"/>
        <item x="1"/>
        <item x="4"/>
        <item x="9"/>
        <item x="6"/>
        <item t="default"/>
      </items>
    </pivotField>
    <pivotField showAll="0">
      <items count="5">
        <item x="1"/>
        <item x="3"/>
        <item x="2"/>
        <item x="0"/>
        <item t="default"/>
      </items>
    </pivotField>
    <pivotField showAll="0">
      <items count="8">
        <item x="2"/>
        <item x="1"/>
        <item x="5"/>
        <item x="3"/>
        <item x="6"/>
        <item x="4"/>
        <item x="0"/>
        <item t="default"/>
      </items>
    </pivotField>
    <pivotField showAll="0"/>
    <pivotField numFmtId="164" showAll="0"/>
    <pivotField numFmtId="164" showAll="0"/>
    <pivotField dataField="1" numFmtId="164" showAll="0">
      <items count="48">
        <item x="35"/>
        <item x="37"/>
        <item x="16"/>
        <item x="36"/>
        <item x="22"/>
        <item x="19"/>
        <item x="26"/>
        <item x="8"/>
        <item x="5"/>
        <item x="21"/>
        <item x="34"/>
        <item x="43"/>
        <item x="10"/>
        <item x="41"/>
        <item x="42"/>
        <item x="6"/>
        <item x="32"/>
        <item x="24"/>
        <item x="3"/>
        <item x="29"/>
        <item x="39"/>
        <item x="27"/>
        <item x="11"/>
        <item x="33"/>
        <item x="2"/>
        <item x="13"/>
        <item x="45"/>
        <item x="28"/>
        <item x="44"/>
        <item x="14"/>
        <item x="31"/>
        <item x="9"/>
        <item x="12"/>
        <item x="23"/>
        <item x="20"/>
        <item x="46"/>
        <item x="4"/>
        <item x="1"/>
        <item x="40"/>
        <item x="25"/>
        <item x="0"/>
        <item x="38"/>
        <item x="18"/>
        <item x="15"/>
        <item x="7"/>
        <item x="17"/>
        <item x="30"/>
        <item t="default"/>
      </items>
    </pivotField>
    <pivotField numFmtId="164" showAll="0"/>
    <pivotField showAll="0"/>
  </pivotFields>
  <rowFields count="1">
    <field x="1"/>
  </rowFields>
  <rowItems count="11">
    <i>
      <x/>
    </i>
    <i>
      <x v="1"/>
    </i>
    <i>
      <x v="2"/>
    </i>
    <i>
      <x v="3"/>
    </i>
    <i>
      <x v="4"/>
    </i>
    <i>
      <x v="5"/>
    </i>
    <i>
      <x v="6"/>
    </i>
    <i>
      <x v="7"/>
    </i>
    <i>
      <x v="8"/>
    </i>
    <i>
      <x v="9"/>
    </i>
    <i t="grand">
      <x/>
    </i>
  </rowItems>
  <colItems count="1">
    <i/>
  </colItems>
  <dataFields count="1">
    <dataField name="Sum of Total Sales" fld="7" baseField="1" baseItem="0" numFmtId="164"/>
  </dataField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Person" xr10:uid="{E2FB96E6-DFE2-4DF9-8C2E-FE18AA8656B4}" sourceName="Sales Person">
  <data>
    <tabular pivotCacheId="209869567">
      <items count="10">
        <i x="0"/>
        <i x="8"/>
        <i x="3"/>
        <i x="5"/>
        <i x="7"/>
        <i x="2" s="1"/>
        <i x="1"/>
        <i x="4"/>
        <i x="9"/>
        <i x="6"/>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75D655E8-0532-46EB-8E1B-7278BD58F442}" sourceName="Region">
  <data>
    <tabular pivotCacheId="209869567" sortOrder="descending">
      <items count="4">
        <i x="0" s="1"/>
        <i x="2" s="1"/>
        <i x="3"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8BD7AFC5-85F2-4B83-A03F-848A1B8730DB}" sourceName="Product">
  <data>
    <tabular pivotCacheId="209869567">
      <items count="7">
        <i x="2" s="1"/>
        <i x="1"/>
        <i x="5"/>
        <i x="3"/>
        <i x="6"/>
        <i x="4"/>
        <i x="0"/>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ales Person 1" xr10:uid="{7FBB818F-6FB9-4BAB-A963-00AFC2189DC5}" cache="Slicer_Sales_Person" caption="Sales Person" startItem="1" showCaption="0" style="SlicerStyleDark5" rowHeight="251883"/>
  <slicer name="Region 1" xr10:uid="{94131AE2-888D-4BC9-A6AD-0C2893AE0611}" cache="Slicer_Region" caption="Region" columnCount="2" showCaption="0" style="SlicerStyleDark4" rowHeight="251883"/>
  <slicer name="Product 1" xr10:uid="{C036B83D-8D7C-4E66-AB1D-D0AACB280DF7}" cache="Slicer_Product" caption="Product" showCaption="0" style="SlicerStyleDark5" rowHeight="251883"/>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ales Person" xr10:uid="{556A9D29-1F76-47AF-97D2-DFF7AD591322}" cache="Slicer_Sales_Person" caption="Sales Person" showCaption="0" rowHeight="251883"/>
  <slicer name="Region" xr10:uid="{9129A319-A151-4B2C-A5B1-520A0C782A0B}" cache="Slicer_Region" caption="Region" columnCount="2" showCaption="0" rowHeight="251883"/>
  <slicer name="Product" xr10:uid="{3206A1D0-43A7-4CAF-AFEA-41E46A1842BE}" cache="Slicer_Product" caption="Product" showCaption="0" rowHeight="25188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5220BBA-2C1A-4AE7-A7A3-4C41DF56B1A5}" name="Table2" displayName="Table2" ref="A1:J51" totalsRowShown="0" headerRowDxfId="12" dataDxfId="11" tableBorderDxfId="10" dataCellStyle="Currency [0]">
  <autoFilter ref="A1:J51" xr:uid="{D5220BBA-2C1A-4AE7-A7A3-4C41DF56B1A5}"/>
  <tableColumns count="10">
    <tableColumn id="1" xr3:uid="{A7D7D478-72FD-45D7-916E-C8D42AEA6706}" name="Date" dataDxfId="9"/>
    <tableColumn id="2" xr3:uid="{B88EB874-9BA3-4B04-AD48-7F33030C4966}" name="Sales Person" dataDxfId="8"/>
    <tableColumn id="3" xr3:uid="{F36064E7-68FB-4975-9052-B2A224317026}" name="Region" dataDxfId="7"/>
    <tableColumn id="4" xr3:uid="{9440AB1B-08A9-465D-9FAC-784D10F299EE}" name="Product" dataDxfId="6"/>
    <tableColumn id="5" xr3:uid="{A3DB7E26-C5F8-4A9F-9279-80C2D2008F5F}" name="Units Sold" dataDxfId="5"/>
    <tableColumn id="6" xr3:uid="{92F8BFD1-2EE2-42C8-91F5-A31955C3E0B5}" name="Unit Price" dataDxfId="4" dataCellStyle="Currency [0]">
      <calculatedColumnFormula>IF(D2="Tent",6000,IF(D2="Blender",3500,IF(D2="Action Figure",1200,IF(D2="Novel",1000,IF(D2="Sneakers",4000,IF(D2="Smartphone",10000,IF(D2="moisturizer",600,"No Product Found")))))))</calculatedColumnFormula>
    </tableColumn>
    <tableColumn id="7" xr3:uid="{2455FDB1-6880-44EC-8B0F-C1FD63346B73}" name="Cost of Goods" dataDxfId="3" dataCellStyle="Currency [0]">
      <calculatedColumnFormula>IF(D2="Tent",4000,IF(D2="Blender",2500,IF(D2="Action Figure",800,IF(D2="Novel",700,IF(D2="Sneakers",3000,IF(D2="Smartphone",7000,IF(D2="moisturizer",400,"No Product Found")))))))</calculatedColumnFormula>
    </tableColumn>
    <tableColumn id="8" xr3:uid="{65E5E787-60BD-4E87-9F56-642C8C740D2E}" name="Total Sales" dataDxfId="2" dataCellStyle="Currency [0]">
      <calculatedColumnFormula>F2*E2</calculatedColumnFormula>
    </tableColumn>
    <tableColumn id="9" xr3:uid="{2CE6A04C-51F3-44EF-9902-8F36AC4F1A24}" name="Profit " dataDxfId="1">
      <calculatedColumnFormula>H2-(G2*E2)</calculatedColumnFormula>
    </tableColumn>
    <tableColumn id="10" xr3:uid="{13880A1F-1F6F-471B-BDD1-1D40B2D21522}" name="Grand Total "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Green">
      <a:dk1>
        <a:sysClr val="windowText" lastClr="000000"/>
      </a:dk1>
      <a:lt1>
        <a:sysClr val="window" lastClr="FFFFFF"/>
      </a:lt1>
      <a:dk2>
        <a:srgbClr val="455F51"/>
      </a:dk2>
      <a:lt2>
        <a:srgbClr val="E3DED1"/>
      </a:lt2>
      <a:accent1>
        <a:srgbClr val="549E39"/>
      </a:accent1>
      <a:accent2>
        <a:srgbClr val="8AB833"/>
      </a:accent2>
      <a:accent3>
        <a:srgbClr val="C0CF3A"/>
      </a:accent3>
      <a:accent4>
        <a:srgbClr val="029676"/>
      </a:accent4>
      <a:accent5>
        <a:srgbClr val="4AB5C4"/>
      </a:accent5>
      <a:accent6>
        <a:srgbClr val="0989B1"/>
      </a:accent6>
      <a:hlink>
        <a:srgbClr val="6B9F25"/>
      </a:hlink>
      <a:folHlink>
        <a:srgbClr val="BA6906"/>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2.xml"/><Relationship Id="rId5" Type="http://schemas.openxmlformats.org/officeDocument/2006/relationships/drawing" Target="../drawings/drawing2.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01DA95-5C52-4B8D-B267-0A37879F5112}">
  <dimension ref="A1:Z15"/>
  <sheetViews>
    <sheetView showGridLines="0" showRowColHeaders="0" zoomScale="60" zoomScaleNormal="60" workbookViewId="0">
      <selection activeCell="AA15" sqref="AA15"/>
    </sheetView>
    <sheetView tabSelected="1" zoomScale="55" zoomScaleNormal="55" workbookViewId="1"/>
  </sheetViews>
  <sheetFormatPr defaultRowHeight="14.5" x14ac:dyDescent="0.35"/>
  <sheetData>
    <row r="1" spans="1:26" x14ac:dyDescent="0.35">
      <c r="A1" t="s">
        <v>38</v>
      </c>
    </row>
    <row r="15" spans="1:26" x14ac:dyDescent="0.35">
      <c r="Z15" t="s">
        <v>38</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632DE6-799F-446D-B945-AD0409C8FC12}">
  <dimension ref="A3:K27"/>
  <sheetViews>
    <sheetView topLeftCell="A7" zoomScale="70" zoomScaleNormal="70" workbookViewId="0">
      <selection activeCell="A3" sqref="A3"/>
    </sheetView>
    <sheetView topLeftCell="A16" workbookViewId="1">
      <selection activeCell="A18" sqref="A18"/>
    </sheetView>
  </sheetViews>
  <sheetFormatPr defaultRowHeight="14.5" x14ac:dyDescent="0.35"/>
  <cols>
    <col min="1" max="1" width="13.36328125" bestFit="1" customWidth="1"/>
    <col min="2" max="2" width="16.08984375" bestFit="1" customWidth="1"/>
    <col min="4" max="4" width="12.453125" bestFit="1" customWidth="1"/>
    <col min="5" max="5" width="16.08984375" bestFit="1" customWidth="1"/>
    <col min="6" max="6" width="9.7265625" customWidth="1"/>
    <col min="7" max="7" width="12.453125" bestFit="1" customWidth="1"/>
    <col min="8" max="8" width="16.08984375" bestFit="1" customWidth="1"/>
    <col min="10" max="10" width="12.453125" bestFit="1" customWidth="1"/>
    <col min="11" max="11" width="15.6328125" bestFit="1" customWidth="1"/>
  </cols>
  <sheetData>
    <row r="3" spans="1:11" x14ac:dyDescent="0.35">
      <c r="D3" s="3" t="s">
        <v>34</v>
      </c>
      <c r="E3" t="s">
        <v>36</v>
      </c>
      <c r="G3" s="3" t="s">
        <v>34</v>
      </c>
      <c r="H3" t="s">
        <v>36</v>
      </c>
      <c r="J3" s="3" t="s">
        <v>34</v>
      </c>
      <c r="K3" t="s">
        <v>37</v>
      </c>
    </row>
    <row r="4" spans="1:11" x14ac:dyDescent="0.35">
      <c r="D4" s="1" t="s">
        <v>16</v>
      </c>
      <c r="E4" s="2">
        <v>547200</v>
      </c>
      <c r="G4" s="1" t="s">
        <v>8</v>
      </c>
      <c r="H4" s="2">
        <v>1591600</v>
      </c>
      <c r="J4" s="1" t="s">
        <v>16</v>
      </c>
      <c r="K4" s="4">
        <v>456</v>
      </c>
    </row>
    <row r="5" spans="1:11" x14ac:dyDescent="0.35">
      <c r="D5" s="1" t="s">
        <v>13</v>
      </c>
      <c r="E5" s="2">
        <v>2222500</v>
      </c>
      <c r="G5" s="1" t="s">
        <v>25</v>
      </c>
      <c r="H5" s="2">
        <v>677600</v>
      </c>
      <c r="J5" s="1" t="s">
        <v>13</v>
      </c>
      <c r="K5" s="4">
        <v>635</v>
      </c>
    </row>
    <row r="6" spans="1:11" x14ac:dyDescent="0.35">
      <c r="D6" s="1" t="s">
        <v>26</v>
      </c>
      <c r="E6" s="2">
        <v>706800</v>
      </c>
      <c r="G6" s="1" t="s">
        <v>17</v>
      </c>
      <c r="H6" s="2">
        <v>1957000</v>
      </c>
      <c r="J6" s="1" t="s">
        <v>26</v>
      </c>
      <c r="K6" s="4">
        <v>1178</v>
      </c>
    </row>
    <row r="7" spans="1:11" x14ac:dyDescent="0.35">
      <c r="A7" s="3" t="s">
        <v>34</v>
      </c>
      <c r="B7" t="s">
        <v>36</v>
      </c>
      <c r="D7" s="1" t="s">
        <v>19</v>
      </c>
      <c r="E7" s="2">
        <v>898000</v>
      </c>
      <c r="G7" s="1" t="s">
        <v>22</v>
      </c>
      <c r="H7" s="2">
        <v>1661400</v>
      </c>
      <c r="J7" s="1" t="s">
        <v>19</v>
      </c>
      <c r="K7" s="4">
        <v>898</v>
      </c>
    </row>
    <row r="8" spans="1:11" x14ac:dyDescent="0.35">
      <c r="A8" s="1" t="s">
        <v>12</v>
      </c>
      <c r="B8" s="4">
        <v>3534400</v>
      </c>
      <c r="D8" s="1" t="s">
        <v>28</v>
      </c>
      <c r="E8" s="2">
        <v>2350000</v>
      </c>
      <c r="G8" s="1" t="s">
        <v>24</v>
      </c>
      <c r="H8" s="2">
        <v>1741200</v>
      </c>
      <c r="J8" s="1" t="s">
        <v>28</v>
      </c>
      <c r="K8" s="4">
        <v>235</v>
      </c>
    </row>
    <row r="9" spans="1:11" x14ac:dyDescent="0.35">
      <c r="A9" s="1" t="s">
        <v>18</v>
      </c>
      <c r="B9" s="4">
        <v>2661400</v>
      </c>
      <c r="D9" s="1" t="s">
        <v>21</v>
      </c>
      <c r="E9" s="2">
        <v>3196000</v>
      </c>
      <c r="G9" s="1" t="s">
        <v>14</v>
      </c>
      <c r="H9" s="2">
        <v>1110000</v>
      </c>
      <c r="J9" s="1" t="s">
        <v>21</v>
      </c>
      <c r="K9" s="4">
        <v>799</v>
      </c>
    </row>
    <row r="10" spans="1:11" x14ac:dyDescent="0.35">
      <c r="A10" s="1" t="s">
        <v>15</v>
      </c>
      <c r="B10" s="4">
        <v>2870600</v>
      </c>
      <c r="D10" s="1" t="s">
        <v>10</v>
      </c>
      <c r="E10" s="2">
        <v>3024000</v>
      </c>
      <c r="G10" s="1" t="s">
        <v>11</v>
      </c>
      <c r="H10" s="2">
        <v>1777400</v>
      </c>
      <c r="J10" s="1" t="s">
        <v>10</v>
      </c>
      <c r="K10" s="4">
        <v>504</v>
      </c>
    </row>
    <row r="11" spans="1:11" x14ac:dyDescent="0.35">
      <c r="A11" s="1" t="s">
        <v>9</v>
      </c>
      <c r="B11" s="4">
        <v>3878100</v>
      </c>
      <c r="D11" s="1" t="s">
        <v>35</v>
      </c>
      <c r="E11" s="2">
        <v>12944500</v>
      </c>
      <c r="G11" s="1" t="s">
        <v>20</v>
      </c>
      <c r="H11" s="2">
        <v>1065400</v>
      </c>
      <c r="J11" s="1" t="s">
        <v>35</v>
      </c>
      <c r="K11" s="4">
        <v>4705</v>
      </c>
    </row>
    <row r="12" spans="1:11" x14ac:dyDescent="0.35">
      <c r="A12" s="1" t="s">
        <v>35</v>
      </c>
      <c r="B12" s="4">
        <v>12944500</v>
      </c>
      <c r="G12" s="1" t="s">
        <v>27</v>
      </c>
      <c r="H12" s="2">
        <v>784400</v>
      </c>
    </row>
    <row r="13" spans="1:11" x14ac:dyDescent="0.35">
      <c r="G13" s="1" t="s">
        <v>23</v>
      </c>
      <c r="H13" s="2">
        <v>578500</v>
      </c>
    </row>
    <row r="14" spans="1:11" x14ac:dyDescent="0.35">
      <c r="G14" s="1" t="s">
        <v>35</v>
      </c>
      <c r="H14" s="2">
        <v>12944500</v>
      </c>
    </row>
    <row r="27" spans="11:11" x14ac:dyDescent="0.35">
      <c r="K27" t="s">
        <v>38</v>
      </c>
    </row>
  </sheetData>
  <pageMargins left="0.7" right="0.7" top="0.75" bottom="0.75" header="0.3" footer="0.3"/>
  <drawing r:id="rId5"/>
  <extLst>
    <ext xmlns:x14="http://schemas.microsoft.com/office/spreadsheetml/2009/9/main" uri="{A8765BA9-456A-4dab-B4F3-ACF838C121DE}">
      <x14:slicerList>
        <x14:slicer r:id="rId6"/>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ACB3DF-9E1D-4E87-B39C-21F41FB7A8AD}">
  <dimension ref="A1:J51"/>
  <sheetViews>
    <sheetView tabSelected="1" topLeftCell="A2" zoomScale="115" zoomScaleNormal="115" workbookViewId="0">
      <selection activeCell="D21" sqref="D21"/>
    </sheetView>
    <sheetView workbookViewId="1"/>
  </sheetViews>
  <sheetFormatPr defaultRowHeight="14.5" x14ac:dyDescent="0.35"/>
  <cols>
    <col min="1" max="1" width="12.81640625" customWidth="1"/>
    <col min="2" max="2" width="13" customWidth="1"/>
    <col min="3" max="3" width="10" customWidth="1"/>
    <col min="4" max="4" width="15.6328125" customWidth="1"/>
    <col min="5" max="5" width="10.6328125" customWidth="1"/>
    <col min="6" max="6" width="10.36328125" customWidth="1"/>
    <col min="7" max="7" width="13.90625" customWidth="1"/>
    <col min="8" max="9" width="13.54296875" customWidth="1"/>
    <col min="10" max="10" width="14.26953125" customWidth="1"/>
  </cols>
  <sheetData>
    <row r="1" spans="1:10" ht="15.5" thickTop="1" thickBot="1" x14ac:dyDescent="0.4">
      <c r="A1" s="5" t="s">
        <v>0</v>
      </c>
      <c r="B1" s="5" t="s">
        <v>1</v>
      </c>
      <c r="C1" s="5" t="s">
        <v>2</v>
      </c>
      <c r="D1" s="5" t="s">
        <v>3</v>
      </c>
      <c r="E1" s="5" t="s">
        <v>4</v>
      </c>
      <c r="F1" s="5" t="s">
        <v>5</v>
      </c>
      <c r="G1" s="5" t="s">
        <v>6</v>
      </c>
      <c r="H1" s="5" t="s">
        <v>7</v>
      </c>
      <c r="I1" s="6" t="s">
        <v>29</v>
      </c>
      <c r="J1" s="6" t="s">
        <v>30</v>
      </c>
    </row>
    <row r="2" spans="1:10" ht="15" thickTop="1" x14ac:dyDescent="0.35">
      <c r="A2" s="18">
        <v>44246</v>
      </c>
      <c r="B2" s="7" t="s">
        <v>8</v>
      </c>
      <c r="C2" s="7" t="s">
        <v>9</v>
      </c>
      <c r="D2" s="7" t="s">
        <v>10</v>
      </c>
      <c r="E2" s="8">
        <v>84</v>
      </c>
      <c r="F2" s="9">
        <f>IF(D2="Tent",6000,IF(D2="Blender",3500,IF(D2="Action Figure",1200,IF(D2="Novel",1000,IF(D2="Sneakers",4000,IF(D2="Smartphone",10000,IF(D2="moisturizer",600,"No Product Found")))))))</f>
        <v>6000</v>
      </c>
      <c r="G2" s="9">
        <f>IF(D2="Tent",4000,IF(D2="Blender",2500,IF(D2="Action Figure",800,IF(D2="Novel",700,IF(D2="Sneakers",3000,IF(D2="Smartphone",7000,IF(D2="moisturizer",400,"No Product Found")))))))</f>
        <v>4000</v>
      </c>
      <c r="H2" s="9">
        <f>F2*E2</f>
        <v>504000</v>
      </c>
      <c r="I2" s="10">
        <f>H2-(G2*E2)</f>
        <v>168000</v>
      </c>
      <c r="J2" s="10">
        <f>SUM(H2:H51)</f>
        <v>12944500</v>
      </c>
    </row>
    <row r="3" spans="1:10" x14ac:dyDescent="0.35">
      <c r="A3" s="19">
        <v>44446</v>
      </c>
      <c r="B3" s="11" t="s">
        <v>11</v>
      </c>
      <c r="C3" s="11" t="s">
        <v>12</v>
      </c>
      <c r="D3" s="11" t="s">
        <v>13</v>
      </c>
      <c r="E3" s="12">
        <v>128</v>
      </c>
      <c r="F3" s="13">
        <f t="shared" ref="F3:F51" si="0">IF(D3="Tent",6000,IF(D3="Blender",3500,IF(D3="Action Figure",1200,IF(D3="Novel",1000,IF(D3="Sneakers",4000,IF(D3="Smartphone",10000,IF(D3="moisturizer",600,"No Product Found")))))))</f>
        <v>3500</v>
      </c>
      <c r="G3" s="13">
        <f t="shared" ref="G3:G51" si="1">IF(D3="Tent",4000,IF(D3="Blender",2500,IF(D3="Action Figure",800,IF(D3="Novel",700,IF(D3="Sneakers",3000,IF(D3="Smartphone",7000,IF(D3="moisturizer",400,"No Product Found")))))))</f>
        <v>2500</v>
      </c>
      <c r="H3" s="13">
        <f t="shared" ref="H3:H51" si="2">F3*E3</f>
        <v>448000</v>
      </c>
      <c r="I3" s="14">
        <f t="shared" ref="I3:I51" si="3">H3-(G3*E3)</f>
        <v>128000</v>
      </c>
      <c r="J3" s="21" t="s">
        <v>31</v>
      </c>
    </row>
    <row r="4" spans="1:10" x14ac:dyDescent="0.35">
      <c r="A4" s="20">
        <v>44230</v>
      </c>
      <c r="B4" s="15" t="s">
        <v>14</v>
      </c>
      <c r="C4" s="15" t="s">
        <v>15</v>
      </c>
      <c r="D4" s="15" t="s">
        <v>16</v>
      </c>
      <c r="E4" s="16">
        <v>136</v>
      </c>
      <c r="F4" s="17">
        <f t="shared" si="0"/>
        <v>1200</v>
      </c>
      <c r="G4" s="17">
        <f t="shared" si="1"/>
        <v>800</v>
      </c>
      <c r="H4" s="17">
        <f t="shared" si="2"/>
        <v>163200</v>
      </c>
      <c r="I4" s="10">
        <f t="shared" si="3"/>
        <v>54400</v>
      </c>
      <c r="J4" s="22">
        <f>SUM(E2:E51)</f>
        <v>4705</v>
      </c>
    </row>
    <row r="5" spans="1:10" x14ac:dyDescent="0.35">
      <c r="A5" s="19">
        <v>44085</v>
      </c>
      <c r="B5" s="11" t="s">
        <v>17</v>
      </c>
      <c r="C5" s="11" t="s">
        <v>18</v>
      </c>
      <c r="D5" s="11" t="s">
        <v>19</v>
      </c>
      <c r="E5" s="12">
        <v>91</v>
      </c>
      <c r="F5" s="13">
        <f t="shared" si="0"/>
        <v>1000</v>
      </c>
      <c r="G5" s="13">
        <f t="shared" si="1"/>
        <v>700</v>
      </c>
      <c r="H5" s="13">
        <f t="shared" si="2"/>
        <v>91000</v>
      </c>
      <c r="I5" s="14">
        <f t="shared" si="3"/>
        <v>27300</v>
      </c>
      <c r="J5" s="21" t="s">
        <v>32</v>
      </c>
    </row>
    <row r="6" spans="1:10" x14ac:dyDescent="0.35">
      <c r="A6" s="20">
        <v>44462</v>
      </c>
      <c r="B6" s="15" t="s">
        <v>20</v>
      </c>
      <c r="C6" s="15" t="s">
        <v>9</v>
      </c>
      <c r="D6" s="15" t="s">
        <v>21</v>
      </c>
      <c r="E6" s="16">
        <v>110</v>
      </c>
      <c r="F6" s="17">
        <f t="shared" si="0"/>
        <v>4000</v>
      </c>
      <c r="G6" s="17">
        <f t="shared" si="1"/>
        <v>3000</v>
      </c>
      <c r="H6" s="17">
        <f t="shared" si="2"/>
        <v>440000</v>
      </c>
      <c r="I6" s="10">
        <f t="shared" si="3"/>
        <v>110000</v>
      </c>
      <c r="J6" s="10">
        <f>SUM(I2:I51)</f>
        <v>3834400</v>
      </c>
    </row>
    <row r="7" spans="1:10" x14ac:dyDescent="0.35">
      <c r="A7" s="19">
        <v>44105</v>
      </c>
      <c r="B7" s="11" t="s">
        <v>22</v>
      </c>
      <c r="C7" s="11" t="s">
        <v>12</v>
      </c>
      <c r="D7" s="11" t="s">
        <v>16</v>
      </c>
      <c r="E7" s="12">
        <v>51</v>
      </c>
      <c r="F7" s="13">
        <f t="shared" si="0"/>
        <v>1200</v>
      </c>
      <c r="G7" s="13">
        <f t="shared" si="1"/>
        <v>800</v>
      </c>
      <c r="H7" s="13">
        <f t="shared" si="2"/>
        <v>61200</v>
      </c>
      <c r="I7" s="14">
        <f t="shared" si="3"/>
        <v>20400</v>
      </c>
      <c r="J7" s="11" t="s">
        <v>33</v>
      </c>
    </row>
    <row r="8" spans="1:10" x14ac:dyDescent="0.35">
      <c r="A8" s="20">
        <v>44413</v>
      </c>
      <c r="B8" s="15" t="s">
        <v>23</v>
      </c>
      <c r="C8" s="15" t="s">
        <v>18</v>
      </c>
      <c r="D8" s="15" t="s">
        <v>19</v>
      </c>
      <c r="E8" s="16">
        <v>78</v>
      </c>
      <c r="F8" s="17">
        <f t="shared" si="0"/>
        <v>1000</v>
      </c>
      <c r="G8" s="17">
        <f t="shared" si="1"/>
        <v>700</v>
      </c>
      <c r="H8" s="17">
        <f t="shared" si="2"/>
        <v>78000</v>
      </c>
      <c r="I8" s="10">
        <f t="shared" si="3"/>
        <v>23400</v>
      </c>
      <c r="J8" s="10">
        <f>AVERAGE(H2:H51)</f>
        <v>258890</v>
      </c>
    </row>
    <row r="9" spans="1:10" x14ac:dyDescent="0.35">
      <c r="A9" s="19">
        <v>44141</v>
      </c>
      <c r="B9" s="11" t="s">
        <v>24</v>
      </c>
      <c r="C9" s="11" t="s">
        <v>15</v>
      </c>
      <c r="D9" s="11" t="s">
        <v>10</v>
      </c>
      <c r="E9" s="12">
        <v>146</v>
      </c>
      <c r="F9" s="13">
        <f t="shared" si="0"/>
        <v>6000</v>
      </c>
      <c r="G9" s="13">
        <f t="shared" si="1"/>
        <v>4000</v>
      </c>
      <c r="H9" s="13">
        <f t="shared" si="2"/>
        <v>876000</v>
      </c>
      <c r="I9" s="14">
        <f t="shared" si="3"/>
        <v>292000</v>
      </c>
      <c r="J9" s="11"/>
    </row>
    <row r="10" spans="1:10" x14ac:dyDescent="0.35">
      <c r="A10" s="20">
        <v>44223</v>
      </c>
      <c r="B10" s="15" t="s">
        <v>25</v>
      </c>
      <c r="C10" s="15" t="s">
        <v>9</v>
      </c>
      <c r="D10" s="15" t="s">
        <v>26</v>
      </c>
      <c r="E10" s="16">
        <v>101</v>
      </c>
      <c r="F10" s="17">
        <f t="shared" si="0"/>
        <v>600</v>
      </c>
      <c r="G10" s="17">
        <f t="shared" si="1"/>
        <v>400</v>
      </c>
      <c r="H10" s="17">
        <f t="shared" si="2"/>
        <v>60600</v>
      </c>
      <c r="I10" s="10">
        <f t="shared" si="3"/>
        <v>20200</v>
      </c>
      <c r="J10" s="15"/>
    </row>
    <row r="11" spans="1:10" x14ac:dyDescent="0.35">
      <c r="A11" s="19">
        <v>44442</v>
      </c>
      <c r="B11" s="11" t="s">
        <v>27</v>
      </c>
      <c r="C11" s="11" t="s">
        <v>15</v>
      </c>
      <c r="D11" s="11" t="s">
        <v>10</v>
      </c>
      <c r="E11" s="12">
        <v>52</v>
      </c>
      <c r="F11" s="13">
        <f t="shared" si="0"/>
        <v>6000</v>
      </c>
      <c r="G11" s="13">
        <f t="shared" si="1"/>
        <v>4000</v>
      </c>
      <c r="H11" s="13">
        <f t="shared" si="2"/>
        <v>312000</v>
      </c>
      <c r="I11" s="14">
        <f t="shared" si="3"/>
        <v>104000</v>
      </c>
      <c r="J11" s="11"/>
    </row>
    <row r="12" spans="1:10" x14ac:dyDescent="0.35">
      <c r="A12" s="20">
        <v>44469</v>
      </c>
      <c r="B12" s="15" t="s">
        <v>27</v>
      </c>
      <c r="C12" s="15" t="s">
        <v>12</v>
      </c>
      <c r="D12" s="15" t="s">
        <v>16</v>
      </c>
      <c r="E12" s="16">
        <v>55</v>
      </c>
      <c r="F12" s="17">
        <f t="shared" si="0"/>
        <v>1200</v>
      </c>
      <c r="G12" s="17">
        <f t="shared" si="1"/>
        <v>800</v>
      </c>
      <c r="H12" s="17">
        <f t="shared" si="2"/>
        <v>66000</v>
      </c>
      <c r="I12" s="10">
        <f t="shared" si="3"/>
        <v>22000</v>
      </c>
      <c r="J12" s="15"/>
    </row>
    <row r="13" spans="1:10" x14ac:dyDescent="0.35">
      <c r="A13" s="19">
        <v>44084</v>
      </c>
      <c r="B13" s="11" t="s">
        <v>27</v>
      </c>
      <c r="C13" s="11" t="s">
        <v>15</v>
      </c>
      <c r="D13" s="11" t="s">
        <v>19</v>
      </c>
      <c r="E13" s="12">
        <v>137</v>
      </c>
      <c r="F13" s="13">
        <f t="shared" si="0"/>
        <v>1000</v>
      </c>
      <c r="G13" s="13">
        <f t="shared" si="1"/>
        <v>700</v>
      </c>
      <c r="H13" s="13">
        <f t="shared" si="2"/>
        <v>137000</v>
      </c>
      <c r="I13" s="14">
        <f t="shared" si="3"/>
        <v>41100</v>
      </c>
      <c r="J13" s="11"/>
    </row>
    <row r="14" spans="1:10" x14ac:dyDescent="0.35">
      <c r="A14" s="20">
        <v>44404</v>
      </c>
      <c r="B14" s="15" t="s">
        <v>24</v>
      </c>
      <c r="C14" s="15" t="s">
        <v>15</v>
      </c>
      <c r="D14" s="15" t="s">
        <v>13</v>
      </c>
      <c r="E14" s="16">
        <v>96</v>
      </c>
      <c r="F14" s="17">
        <f t="shared" si="0"/>
        <v>3500</v>
      </c>
      <c r="G14" s="17">
        <f t="shared" si="1"/>
        <v>2500</v>
      </c>
      <c r="H14" s="17">
        <f t="shared" si="2"/>
        <v>336000</v>
      </c>
      <c r="I14" s="10">
        <f t="shared" si="3"/>
        <v>96000</v>
      </c>
      <c r="J14" s="15"/>
    </row>
    <row r="15" spans="1:10" x14ac:dyDescent="0.35">
      <c r="A15" s="19">
        <v>44113</v>
      </c>
      <c r="B15" s="11" t="s">
        <v>25</v>
      </c>
      <c r="C15" s="11" t="s">
        <v>12</v>
      </c>
      <c r="D15" s="11" t="s">
        <v>21</v>
      </c>
      <c r="E15" s="12">
        <v>52</v>
      </c>
      <c r="F15" s="13">
        <f t="shared" si="0"/>
        <v>4000</v>
      </c>
      <c r="G15" s="13">
        <f t="shared" si="1"/>
        <v>3000</v>
      </c>
      <c r="H15" s="13">
        <f t="shared" si="2"/>
        <v>208000</v>
      </c>
      <c r="I15" s="14">
        <f t="shared" si="3"/>
        <v>52000</v>
      </c>
      <c r="J15" s="11"/>
    </row>
    <row r="16" spans="1:10" x14ac:dyDescent="0.35">
      <c r="A16" s="20">
        <v>44292</v>
      </c>
      <c r="B16" s="15" t="s">
        <v>17</v>
      </c>
      <c r="C16" s="15" t="s">
        <v>9</v>
      </c>
      <c r="D16" s="15" t="s">
        <v>13</v>
      </c>
      <c r="E16" s="16">
        <v>76</v>
      </c>
      <c r="F16" s="17">
        <f t="shared" si="0"/>
        <v>3500</v>
      </c>
      <c r="G16" s="17">
        <f t="shared" si="1"/>
        <v>2500</v>
      </c>
      <c r="H16" s="17">
        <f t="shared" si="2"/>
        <v>266000</v>
      </c>
      <c r="I16" s="10">
        <f t="shared" si="3"/>
        <v>76000</v>
      </c>
      <c r="J16" s="15"/>
    </row>
    <row r="17" spans="1:10" x14ac:dyDescent="0.35">
      <c r="A17" s="19">
        <v>44362</v>
      </c>
      <c r="B17" s="11" t="s">
        <v>11</v>
      </c>
      <c r="C17" s="11" t="s">
        <v>18</v>
      </c>
      <c r="D17" s="11" t="s">
        <v>21</v>
      </c>
      <c r="E17" s="12">
        <v>145</v>
      </c>
      <c r="F17" s="13">
        <f t="shared" si="0"/>
        <v>4000</v>
      </c>
      <c r="G17" s="13">
        <f t="shared" si="1"/>
        <v>3000</v>
      </c>
      <c r="H17" s="13">
        <f t="shared" si="2"/>
        <v>580000</v>
      </c>
      <c r="I17" s="14">
        <f t="shared" si="3"/>
        <v>145000</v>
      </c>
      <c r="J17" s="11"/>
    </row>
    <row r="18" spans="1:10" x14ac:dyDescent="0.35">
      <c r="A18" s="20">
        <v>44083</v>
      </c>
      <c r="B18" s="15" t="s">
        <v>8</v>
      </c>
      <c r="C18" s="15" t="s">
        <v>15</v>
      </c>
      <c r="D18" s="15" t="s">
        <v>26</v>
      </c>
      <c r="E18" s="16">
        <v>83</v>
      </c>
      <c r="F18" s="17">
        <f t="shared" si="0"/>
        <v>600</v>
      </c>
      <c r="G18" s="17">
        <f t="shared" si="1"/>
        <v>400</v>
      </c>
      <c r="H18" s="17">
        <f t="shared" si="2"/>
        <v>49800</v>
      </c>
      <c r="I18" s="10">
        <f t="shared" si="3"/>
        <v>16600</v>
      </c>
      <c r="J18" s="15"/>
    </row>
    <row r="19" spans="1:10" x14ac:dyDescent="0.35">
      <c r="A19" s="19">
        <v>44421</v>
      </c>
      <c r="B19" s="11" t="s">
        <v>20</v>
      </c>
      <c r="C19" s="11" t="s">
        <v>15</v>
      </c>
      <c r="D19" s="11" t="s">
        <v>19</v>
      </c>
      <c r="E19" s="12">
        <v>91</v>
      </c>
      <c r="F19" s="13">
        <f t="shared" si="0"/>
        <v>1000</v>
      </c>
      <c r="G19" s="13">
        <f t="shared" si="1"/>
        <v>700</v>
      </c>
      <c r="H19" s="13">
        <f t="shared" si="2"/>
        <v>91000</v>
      </c>
      <c r="I19" s="14">
        <f t="shared" si="3"/>
        <v>27300</v>
      </c>
      <c r="J19" s="11"/>
    </row>
    <row r="20" spans="1:10" x14ac:dyDescent="0.35">
      <c r="A20" s="20">
        <v>44070</v>
      </c>
      <c r="B20" s="15" t="s">
        <v>22</v>
      </c>
      <c r="C20" s="15" t="s">
        <v>9</v>
      </c>
      <c r="D20" s="15" t="s">
        <v>28</v>
      </c>
      <c r="E20" s="16">
        <v>108</v>
      </c>
      <c r="F20" s="17">
        <f t="shared" si="0"/>
        <v>10000</v>
      </c>
      <c r="G20" s="17">
        <f t="shared" si="1"/>
        <v>7000</v>
      </c>
      <c r="H20" s="17">
        <f t="shared" si="2"/>
        <v>1080000</v>
      </c>
      <c r="I20" s="10">
        <f t="shared" si="3"/>
        <v>324000</v>
      </c>
      <c r="J20" s="15"/>
    </row>
    <row r="21" spans="1:10" x14ac:dyDescent="0.35">
      <c r="A21" s="19">
        <v>44293</v>
      </c>
      <c r="B21" s="11" t="s">
        <v>14</v>
      </c>
      <c r="C21" s="11" t="s">
        <v>18</v>
      </c>
      <c r="D21" s="11" t="s">
        <v>21</v>
      </c>
      <c r="E21" s="12">
        <v>144</v>
      </c>
      <c r="F21" s="13">
        <f t="shared" si="0"/>
        <v>4000</v>
      </c>
      <c r="G21" s="13">
        <f t="shared" si="1"/>
        <v>3000</v>
      </c>
      <c r="H21" s="13">
        <f t="shared" si="2"/>
        <v>576000</v>
      </c>
      <c r="I21" s="14">
        <f t="shared" si="3"/>
        <v>144000</v>
      </c>
      <c r="J21" s="11"/>
    </row>
    <row r="22" spans="1:10" x14ac:dyDescent="0.35">
      <c r="A22" s="20">
        <v>43990</v>
      </c>
      <c r="B22" s="15" t="s">
        <v>20</v>
      </c>
      <c r="C22" s="15" t="s">
        <v>15</v>
      </c>
      <c r="D22" s="15" t="s">
        <v>26</v>
      </c>
      <c r="E22" s="16">
        <v>92</v>
      </c>
      <c r="F22" s="17">
        <f t="shared" si="0"/>
        <v>600</v>
      </c>
      <c r="G22" s="17">
        <f t="shared" si="1"/>
        <v>400</v>
      </c>
      <c r="H22" s="17">
        <f t="shared" si="2"/>
        <v>55200</v>
      </c>
      <c r="I22" s="10">
        <f t="shared" si="3"/>
        <v>18400</v>
      </c>
      <c r="J22" s="15"/>
    </row>
    <row r="23" spans="1:10" x14ac:dyDescent="0.35">
      <c r="A23" s="19">
        <v>44551</v>
      </c>
      <c r="B23" s="11" t="s">
        <v>24</v>
      </c>
      <c r="C23" s="11" t="s">
        <v>9</v>
      </c>
      <c r="D23" s="11" t="s">
        <v>10</v>
      </c>
      <c r="E23" s="12">
        <v>71</v>
      </c>
      <c r="F23" s="13">
        <f t="shared" si="0"/>
        <v>6000</v>
      </c>
      <c r="G23" s="13">
        <f t="shared" si="1"/>
        <v>4000</v>
      </c>
      <c r="H23" s="13">
        <f t="shared" si="2"/>
        <v>426000</v>
      </c>
      <c r="I23" s="14">
        <f t="shared" si="3"/>
        <v>142000</v>
      </c>
      <c r="J23" s="11"/>
    </row>
    <row r="24" spans="1:10" x14ac:dyDescent="0.35">
      <c r="A24" s="20">
        <v>44418</v>
      </c>
      <c r="B24" s="15" t="s">
        <v>8</v>
      </c>
      <c r="C24" s="15" t="s">
        <v>12</v>
      </c>
      <c r="D24" s="15" t="s">
        <v>26</v>
      </c>
      <c r="E24" s="16">
        <v>103</v>
      </c>
      <c r="F24" s="17">
        <f t="shared" si="0"/>
        <v>600</v>
      </c>
      <c r="G24" s="17">
        <f t="shared" si="1"/>
        <v>400</v>
      </c>
      <c r="H24" s="17">
        <f t="shared" si="2"/>
        <v>61800</v>
      </c>
      <c r="I24" s="10">
        <f t="shared" si="3"/>
        <v>20600</v>
      </c>
      <c r="J24" s="15"/>
    </row>
    <row r="25" spans="1:10" x14ac:dyDescent="0.35">
      <c r="A25" s="19">
        <v>44532</v>
      </c>
      <c r="B25" s="11" t="s">
        <v>27</v>
      </c>
      <c r="C25" s="11" t="s">
        <v>18</v>
      </c>
      <c r="D25" s="11" t="s">
        <v>19</v>
      </c>
      <c r="E25" s="12">
        <v>55</v>
      </c>
      <c r="F25" s="13">
        <f t="shared" si="0"/>
        <v>1000</v>
      </c>
      <c r="G25" s="13">
        <f t="shared" si="1"/>
        <v>700</v>
      </c>
      <c r="H25" s="13">
        <f t="shared" si="2"/>
        <v>55000</v>
      </c>
      <c r="I25" s="14">
        <f t="shared" si="3"/>
        <v>16500</v>
      </c>
      <c r="J25" s="11"/>
    </row>
    <row r="26" spans="1:10" x14ac:dyDescent="0.35">
      <c r="A26" s="20">
        <v>44438</v>
      </c>
      <c r="B26" s="15" t="s">
        <v>22</v>
      </c>
      <c r="C26" s="15" t="s">
        <v>12</v>
      </c>
      <c r="D26" s="15" t="s">
        <v>21</v>
      </c>
      <c r="E26" s="16">
        <v>93</v>
      </c>
      <c r="F26" s="17">
        <f t="shared" si="0"/>
        <v>4000</v>
      </c>
      <c r="G26" s="17">
        <f t="shared" si="1"/>
        <v>3000</v>
      </c>
      <c r="H26" s="17">
        <f t="shared" si="2"/>
        <v>372000</v>
      </c>
      <c r="I26" s="10">
        <f t="shared" si="3"/>
        <v>93000</v>
      </c>
      <c r="J26" s="15"/>
    </row>
    <row r="27" spans="1:10" x14ac:dyDescent="0.35">
      <c r="A27" s="19">
        <v>43971</v>
      </c>
      <c r="B27" s="11" t="s">
        <v>14</v>
      </c>
      <c r="C27" s="11" t="s">
        <v>15</v>
      </c>
      <c r="D27" s="11" t="s">
        <v>26</v>
      </c>
      <c r="E27" s="12">
        <v>143</v>
      </c>
      <c r="F27" s="13">
        <f t="shared" si="0"/>
        <v>600</v>
      </c>
      <c r="G27" s="13">
        <f t="shared" si="1"/>
        <v>400</v>
      </c>
      <c r="H27" s="13">
        <f t="shared" si="2"/>
        <v>85800</v>
      </c>
      <c r="I27" s="14">
        <f t="shared" si="3"/>
        <v>28600</v>
      </c>
      <c r="J27" s="11"/>
    </row>
    <row r="28" spans="1:10" x14ac:dyDescent="0.35">
      <c r="A28" s="20">
        <v>44452</v>
      </c>
      <c r="B28" s="15" t="s">
        <v>23</v>
      </c>
      <c r="C28" s="15" t="s">
        <v>9</v>
      </c>
      <c r="D28" s="15" t="s">
        <v>13</v>
      </c>
      <c r="E28" s="16">
        <v>143</v>
      </c>
      <c r="F28" s="17">
        <f t="shared" si="0"/>
        <v>3500</v>
      </c>
      <c r="G28" s="17">
        <f t="shared" si="1"/>
        <v>2500</v>
      </c>
      <c r="H28" s="17">
        <f t="shared" si="2"/>
        <v>500500</v>
      </c>
      <c r="I28" s="10">
        <f t="shared" si="3"/>
        <v>143000</v>
      </c>
      <c r="J28" s="15"/>
    </row>
    <row r="29" spans="1:10" x14ac:dyDescent="0.35">
      <c r="A29" s="19">
        <v>44496</v>
      </c>
      <c r="B29" s="11" t="s">
        <v>25</v>
      </c>
      <c r="C29" s="11" t="s">
        <v>18</v>
      </c>
      <c r="D29" s="11" t="s">
        <v>26</v>
      </c>
      <c r="E29" s="12">
        <v>99</v>
      </c>
      <c r="F29" s="13">
        <f t="shared" si="0"/>
        <v>600</v>
      </c>
      <c r="G29" s="13">
        <f t="shared" si="1"/>
        <v>400</v>
      </c>
      <c r="H29" s="13">
        <f t="shared" si="2"/>
        <v>59400</v>
      </c>
      <c r="I29" s="14">
        <f t="shared" si="3"/>
        <v>19800</v>
      </c>
      <c r="J29" s="11"/>
    </row>
    <row r="30" spans="1:10" x14ac:dyDescent="0.35">
      <c r="A30" s="20">
        <v>44187</v>
      </c>
      <c r="B30" s="15" t="s">
        <v>17</v>
      </c>
      <c r="C30" s="15" t="s">
        <v>9</v>
      </c>
      <c r="D30" s="15" t="s">
        <v>19</v>
      </c>
      <c r="E30" s="16">
        <v>120</v>
      </c>
      <c r="F30" s="17">
        <f t="shared" si="0"/>
        <v>1000</v>
      </c>
      <c r="G30" s="17">
        <f t="shared" si="1"/>
        <v>700</v>
      </c>
      <c r="H30" s="17">
        <f t="shared" si="2"/>
        <v>120000</v>
      </c>
      <c r="I30" s="10">
        <f t="shared" si="3"/>
        <v>36000</v>
      </c>
      <c r="J30" s="15"/>
    </row>
    <row r="31" spans="1:10" x14ac:dyDescent="0.35">
      <c r="A31" s="19">
        <v>44405</v>
      </c>
      <c r="B31" s="11" t="s">
        <v>11</v>
      </c>
      <c r="C31" s="11" t="s">
        <v>15</v>
      </c>
      <c r="D31" s="11" t="s">
        <v>13</v>
      </c>
      <c r="E31" s="12">
        <v>66</v>
      </c>
      <c r="F31" s="13">
        <f t="shared" si="0"/>
        <v>3500</v>
      </c>
      <c r="G31" s="13">
        <f t="shared" si="1"/>
        <v>2500</v>
      </c>
      <c r="H31" s="13">
        <f t="shared" si="2"/>
        <v>231000</v>
      </c>
      <c r="I31" s="14">
        <f t="shared" si="3"/>
        <v>66000</v>
      </c>
      <c r="J31" s="11"/>
    </row>
    <row r="32" spans="1:10" x14ac:dyDescent="0.35">
      <c r="A32" s="20">
        <v>44103</v>
      </c>
      <c r="B32" s="15" t="s">
        <v>25</v>
      </c>
      <c r="C32" s="15" t="s">
        <v>18</v>
      </c>
      <c r="D32" s="15" t="s">
        <v>16</v>
      </c>
      <c r="E32" s="16">
        <v>88</v>
      </c>
      <c r="F32" s="17">
        <f t="shared" si="0"/>
        <v>1200</v>
      </c>
      <c r="G32" s="17">
        <f t="shared" si="1"/>
        <v>800</v>
      </c>
      <c r="H32" s="17">
        <f t="shared" si="2"/>
        <v>105600</v>
      </c>
      <c r="I32" s="10">
        <f t="shared" si="3"/>
        <v>35200</v>
      </c>
      <c r="J32" s="15"/>
    </row>
    <row r="33" spans="1:10" x14ac:dyDescent="0.35">
      <c r="A33" s="19">
        <v>44126</v>
      </c>
      <c r="B33" s="11" t="s">
        <v>17</v>
      </c>
      <c r="C33" s="11" t="s">
        <v>12</v>
      </c>
      <c r="D33" s="11" t="s">
        <v>28</v>
      </c>
      <c r="E33" s="12">
        <v>127</v>
      </c>
      <c r="F33" s="13">
        <f t="shared" si="0"/>
        <v>10000</v>
      </c>
      <c r="G33" s="13">
        <f t="shared" si="1"/>
        <v>7000</v>
      </c>
      <c r="H33" s="13">
        <f t="shared" si="2"/>
        <v>1270000</v>
      </c>
      <c r="I33" s="14">
        <f t="shared" si="3"/>
        <v>381000</v>
      </c>
      <c r="J33" s="11"/>
    </row>
    <row r="34" spans="1:10" x14ac:dyDescent="0.35">
      <c r="A34" s="20">
        <v>43970</v>
      </c>
      <c r="B34" s="15" t="s">
        <v>20</v>
      </c>
      <c r="C34" s="15" t="s">
        <v>9</v>
      </c>
      <c r="D34" s="15" t="s">
        <v>21</v>
      </c>
      <c r="E34" s="16">
        <v>67</v>
      </c>
      <c r="F34" s="17">
        <f t="shared" si="0"/>
        <v>4000</v>
      </c>
      <c r="G34" s="17">
        <f t="shared" si="1"/>
        <v>3000</v>
      </c>
      <c r="H34" s="17">
        <f t="shared" si="2"/>
        <v>268000</v>
      </c>
      <c r="I34" s="10">
        <f t="shared" si="3"/>
        <v>67000</v>
      </c>
      <c r="J34" s="15"/>
    </row>
    <row r="35" spans="1:10" x14ac:dyDescent="0.35">
      <c r="A35" s="19">
        <v>44536</v>
      </c>
      <c r="B35" s="11" t="s">
        <v>11</v>
      </c>
      <c r="C35" s="11" t="s">
        <v>12</v>
      </c>
      <c r="D35" s="11" t="s">
        <v>16</v>
      </c>
      <c r="E35" s="12">
        <v>67</v>
      </c>
      <c r="F35" s="13">
        <f t="shared" si="0"/>
        <v>1200</v>
      </c>
      <c r="G35" s="13">
        <f t="shared" si="1"/>
        <v>800</v>
      </c>
      <c r="H35" s="13">
        <f t="shared" si="2"/>
        <v>80400</v>
      </c>
      <c r="I35" s="14">
        <f t="shared" si="3"/>
        <v>26800</v>
      </c>
      <c r="J35" s="11"/>
    </row>
    <row r="36" spans="1:10" x14ac:dyDescent="0.35">
      <c r="A36" s="20">
        <v>44069</v>
      </c>
      <c r="B36" s="15" t="s">
        <v>27</v>
      </c>
      <c r="C36" s="15" t="s">
        <v>15</v>
      </c>
      <c r="D36" s="15" t="s">
        <v>19</v>
      </c>
      <c r="E36" s="16">
        <v>149</v>
      </c>
      <c r="F36" s="17">
        <f t="shared" si="0"/>
        <v>1000</v>
      </c>
      <c r="G36" s="17">
        <f t="shared" si="1"/>
        <v>700</v>
      </c>
      <c r="H36" s="17">
        <f t="shared" si="2"/>
        <v>149000</v>
      </c>
      <c r="I36" s="10">
        <f t="shared" si="3"/>
        <v>44700</v>
      </c>
      <c r="J36" s="15"/>
    </row>
    <row r="37" spans="1:10" x14ac:dyDescent="0.35">
      <c r="A37" s="19">
        <v>44378</v>
      </c>
      <c r="B37" s="11" t="s">
        <v>20</v>
      </c>
      <c r="C37" s="11" t="s">
        <v>18</v>
      </c>
      <c r="D37" s="11" t="s">
        <v>26</v>
      </c>
      <c r="E37" s="12">
        <v>104</v>
      </c>
      <c r="F37" s="13">
        <f t="shared" si="0"/>
        <v>600</v>
      </c>
      <c r="G37" s="13">
        <f t="shared" si="1"/>
        <v>400</v>
      </c>
      <c r="H37" s="13">
        <f t="shared" si="2"/>
        <v>62400</v>
      </c>
      <c r="I37" s="14">
        <f t="shared" si="3"/>
        <v>20800</v>
      </c>
      <c r="J37" s="11"/>
    </row>
    <row r="38" spans="1:10" x14ac:dyDescent="0.35">
      <c r="A38" s="20">
        <v>44404</v>
      </c>
      <c r="B38" s="15" t="s">
        <v>24</v>
      </c>
      <c r="C38" s="15" t="s">
        <v>9</v>
      </c>
      <c r="D38" s="15" t="s">
        <v>26</v>
      </c>
      <c r="E38" s="16">
        <v>57</v>
      </c>
      <c r="F38" s="17">
        <f t="shared" si="0"/>
        <v>600</v>
      </c>
      <c r="G38" s="17">
        <f t="shared" si="1"/>
        <v>400</v>
      </c>
      <c r="H38" s="17">
        <f t="shared" si="2"/>
        <v>34200</v>
      </c>
      <c r="I38" s="10">
        <f t="shared" si="3"/>
        <v>11400</v>
      </c>
      <c r="J38" s="15"/>
    </row>
    <row r="39" spans="1:10" x14ac:dyDescent="0.35">
      <c r="A39" s="19">
        <v>44109</v>
      </c>
      <c r="B39" s="11" t="s">
        <v>14</v>
      </c>
      <c r="C39" s="11" t="s">
        <v>12</v>
      </c>
      <c r="D39" s="11" t="s">
        <v>26</v>
      </c>
      <c r="E39" s="12">
        <v>90</v>
      </c>
      <c r="F39" s="13">
        <f t="shared" si="0"/>
        <v>600</v>
      </c>
      <c r="G39" s="13">
        <f t="shared" si="1"/>
        <v>400</v>
      </c>
      <c r="H39" s="13">
        <f t="shared" si="2"/>
        <v>54000</v>
      </c>
      <c r="I39" s="14">
        <f t="shared" si="3"/>
        <v>18000</v>
      </c>
      <c r="J39" s="11"/>
    </row>
    <row r="40" spans="1:10" x14ac:dyDescent="0.35">
      <c r="A40" s="20">
        <v>44076</v>
      </c>
      <c r="B40" s="15" t="s">
        <v>22</v>
      </c>
      <c r="C40" s="15" t="s">
        <v>15</v>
      </c>
      <c r="D40" s="15" t="s">
        <v>26</v>
      </c>
      <c r="E40" s="16">
        <v>67</v>
      </c>
      <c r="F40" s="17">
        <f t="shared" si="0"/>
        <v>600</v>
      </c>
      <c r="G40" s="17">
        <f t="shared" si="1"/>
        <v>400</v>
      </c>
      <c r="H40" s="17">
        <f t="shared" si="2"/>
        <v>40200</v>
      </c>
      <c r="I40" s="10">
        <f t="shared" si="3"/>
        <v>13400</v>
      </c>
      <c r="J40" s="15"/>
    </row>
    <row r="41" spans="1:10" x14ac:dyDescent="0.35">
      <c r="A41" s="19">
        <v>44441</v>
      </c>
      <c r="B41" s="11" t="s">
        <v>8</v>
      </c>
      <c r="C41" s="11" t="s">
        <v>18</v>
      </c>
      <c r="D41" s="11" t="s">
        <v>21</v>
      </c>
      <c r="E41" s="12">
        <v>127</v>
      </c>
      <c r="F41" s="13">
        <f t="shared" si="0"/>
        <v>4000</v>
      </c>
      <c r="G41" s="13">
        <f t="shared" si="1"/>
        <v>3000</v>
      </c>
      <c r="H41" s="13">
        <f t="shared" si="2"/>
        <v>508000</v>
      </c>
      <c r="I41" s="14">
        <f t="shared" si="3"/>
        <v>127000</v>
      </c>
      <c r="J41" s="11"/>
    </row>
    <row r="42" spans="1:10" x14ac:dyDescent="0.35">
      <c r="A42" s="20">
        <v>44299</v>
      </c>
      <c r="B42" s="15" t="s">
        <v>22</v>
      </c>
      <c r="C42" s="15" t="s">
        <v>9</v>
      </c>
      <c r="D42" s="15" t="s">
        <v>19</v>
      </c>
      <c r="E42" s="16">
        <v>108</v>
      </c>
      <c r="F42" s="17">
        <f t="shared" si="0"/>
        <v>1000</v>
      </c>
      <c r="G42" s="17">
        <f t="shared" si="1"/>
        <v>700</v>
      </c>
      <c r="H42" s="17">
        <f t="shared" si="2"/>
        <v>108000</v>
      </c>
      <c r="I42" s="10">
        <f t="shared" si="3"/>
        <v>32400</v>
      </c>
      <c r="J42" s="15"/>
    </row>
    <row r="43" spans="1:10" x14ac:dyDescent="0.35">
      <c r="A43" s="19">
        <v>44322</v>
      </c>
      <c r="B43" s="11" t="s">
        <v>14</v>
      </c>
      <c r="C43" s="11" t="s">
        <v>12</v>
      </c>
      <c r="D43" s="11" t="s">
        <v>13</v>
      </c>
      <c r="E43" s="12">
        <v>66</v>
      </c>
      <c r="F43" s="13">
        <f t="shared" si="0"/>
        <v>3500</v>
      </c>
      <c r="G43" s="13">
        <f t="shared" si="1"/>
        <v>2500</v>
      </c>
      <c r="H43" s="13">
        <f t="shared" si="2"/>
        <v>231000</v>
      </c>
      <c r="I43" s="14">
        <f t="shared" si="3"/>
        <v>66000</v>
      </c>
      <c r="J43" s="11"/>
    </row>
    <row r="44" spans="1:10" x14ac:dyDescent="0.35">
      <c r="A44" s="20">
        <v>44211</v>
      </c>
      <c r="B44" s="15" t="s">
        <v>8</v>
      </c>
      <c r="C44" s="15" t="s">
        <v>18</v>
      </c>
      <c r="D44" s="15" t="s">
        <v>10</v>
      </c>
      <c r="E44" s="16">
        <v>78</v>
      </c>
      <c r="F44" s="17">
        <f t="shared" si="0"/>
        <v>6000</v>
      </c>
      <c r="G44" s="17">
        <f t="shared" si="1"/>
        <v>4000</v>
      </c>
      <c r="H44" s="17">
        <f t="shared" si="2"/>
        <v>468000</v>
      </c>
      <c r="I44" s="10">
        <f t="shared" si="3"/>
        <v>156000</v>
      </c>
      <c r="J44" s="15"/>
    </row>
    <row r="45" spans="1:10" x14ac:dyDescent="0.35">
      <c r="A45" s="19">
        <v>44070</v>
      </c>
      <c r="B45" s="11" t="s">
        <v>24</v>
      </c>
      <c r="C45" s="11" t="s">
        <v>15</v>
      </c>
      <c r="D45" s="11" t="s">
        <v>19</v>
      </c>
      <c r="E45" s="12">
        <v>69</v>
      </c>
      <c r="F45" s="13">
        <f t="shared" si="0"/>
        <v>1000</v>
      </c>
      <c r="G45" s="13">
        <f t="shared" si="1"/>
        <v>700</v>
      </c>
      <c r="H45" s="13">
        <f t="shared" si="2"/>
        <v>69000</v>
      </c>
      <c r="I45" s="14">
        <f t="shared" si="3"/>
        <v>20700</v>
      </c>
      <c r="J45" s="11"/>
    </row>
    <row r="46" spans="1:10" x14ac:dyDescent="0.35">
      <c r="A46" s="20">
        <v>44232</v>
      </c>
      <c r="B46" s="15" t="s">
        <v>20</v>
      </c>
      <c r="C46" s="15" t="s">
        <v>9</v>
      </c>
      <c r="D46" s="15" t="s">
        <v>16</v>
      </c>
      <c r="E46" s="16">
        <v>59</v>
      </c>
      <c r="F46" s="17">
        <f t="shared" si="0"/>
        <v>1200</v>
      </c>
      <c r="G46" s="17">
        <f t="shared" si="1"/>
        <v>800</v>
      </c>
      <c r="H46" s="17">
        <f t="shared" si="2"/>
        <v>70800</v>
      </c>
      <c r="I46" s="10">
        <f t="shared" si="3"/>
        <v>23600</v>
      </c>
      <c r="J46" s="15"/>
    </row>
    <row r="47" spans="1:10" x14ac:dyDescent="0.35">
      <c r="A47" s="19">
        <v>44517</v>
      </c>
      <c r="B47" s="11" t="s">
        <v>27</v>
      </c>
      <c r="C47" s="11" t="s">
        <v>15</v>
      </c>
      <c r="D47" s="11" t="s">
        <v>26</v>
      </c>
      <c r="E47" s="12">
        <v>109</v>
      </c>
      <c r="F47" s="13">
        <f t="shared" si="0"/>
        <v>600</v>
      </c>
      <c r="G47" s="13">
        <f t="shared" si="1"/>
        <v>400</v>
      </c>
      <c r="H47" s="13">
        <f t="shared" si="2"/>
        <v>65400</v>
      </c>
      <c r="I47" s="14">
        <f t="shared" si="3"/>
        <v>21800</v>
      </c>
      <c r="J47" s="11"/>
    </row>
    <row r="48" spans="1:10" x14ac:dyDescent="0.35">
      <c r="A48" s="20">
        <v>44193</v>
      </c>
      <c r="B48" s="15" t="s">
        <v>25</v>
      </c>
      <c r="C48" s="15" t="s">
        <v>12</v>
      </c>
      <c r="D48" s="15" t="s">
        <v>21</v>
      </c>
      <c r="E48" s="16">
        <v>61</v>
      </c>
      <c r="F48" s="17">
        <f t="shared" si="0"/>
        <v>4000</v>
      </c>
      <c r="G48" s="17">
        <f t="shared" si="1"/>
        <v>3000</v>
      </c>
      <c r="H48" s="17">
        <f t="shared" si="2"/>
        <v>244000</v>
      </c>
      <c r="I48" s="10">
        <f t="shared" si="3"/>
        <v>61000</v>
      </c>
      <c r="J48" s="15"/>
    </row>
    <row r="49" spans="1:10" x14ac:dyDescent="0.35">
      <c r="A49" s="19">
        <v>44496</v>
      </c>
      <c r="B49" s="11" t="s">
        <v>20</v>
      </c>
      <c r="C49" s="11" t="s">
        <v>18</v>
      </c>
      <c r="D49" s="11" t="s">
        <v>26</v>
      </c>
      <c r="E49" s="12">
        <v>130</v>
      </c>
      <c r="F49" s="13">
        <f t="shared" si="0"/>
        <v>600</v>
      </c>
      <c r="G49" s="13">
        <f t="shared" si="1"/>
        <v>400</v>
      </c>
      <c r="H49" s="13">
        <f t="shared" si="2"/>
        <v>78000</v>
      </c>
      <c r="I49" s="14">
        <f t="shared" si="3"/>
        <v>26000</v>
      </c>
      <c r="J49" s="11"/>
    </row>
    <row r="50" spans="1:10" x14ac:dyDescent="0.35">
      <c r="A50" s="20">
        <v>44502</v>
      </c>
      <c r="B50" s="15" t="s">
        <v>17</v>
      </c>
      <c r="C50" s="15" t="s">
        <v>15</v>
      </c>
      <c r="D50" s="15" t="s">
        <v>13</v>
      </c>
      <c r="E50" s="16">
        <v>60</v>
      </c>
      <c r="F50" s="17">
        <f t="shared" si="0"/>
        <v>3500</v>
      </c>
      <c r="G50" s="17">
        <f t="shared" si="1"/>
        <v>2500</v>
      </c>
      <c r="H50" s="17">
        <f t="shared" si="2"/>
        <v>210000</v>
      </c>
      <c r="I50" s="10">
        <f t="shared" si="3"/>
        <v>60000</v>
      </c>
      <c r="J50" s="15"/>
    </row>
    <row r="51" spans="1:10" x14ac:dyDescent="0.35">
      <c r="A51" s="19">
        <v>43958</v>
      </c>
      <c r="B51" s="11" t="s">
        <v>11</v>
      </c>
      <c r="C51" s="11" t="s">
        <v>12</v>
      </c>
      <c r="D51" s="11" t="s">
        <v>10</v>
      </c>
      <c r="E51" s="12">
        <v>73</v>
      </c>
      <c r="F51" s="13">
        <f t="shared" si="0"/>
        <v>6000</v>
      </c>
      <c r="G51" s="13">
        <f t="shared" si="1"/>
        <v>4000</v>
      </c>
      <c r="H51" s="13">
        <f t="shared" si="2"/>
        <v>438000</v>
      </c>
      <c r="I51" s="14">
        <f t="shared" si="3"/>
        <v>146000</v>
      </c>
      <c r="J51" s="11"/>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Dashboard</vt:lpstr>
      <vt:lpstr>Pivot Table</vt:lpstr>
      <vt:lpstr>SalesData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George Williams</dc:creator>
  <cp:lastModifiedBy>theresilientks@gmail.com</cp:lastModifiedBy>
  <dcterms:created xsi:type="dcterms:W3CDTF">2024-05-30T14:35:02Z</dcterms:created>
  <dcterms:modified xsi:type="dcterms:W3CDTF">2025-12-07T16:36:16Z</dcterms:modified>
</cp:coreProperties>
</file>